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Summary" sheetId="2" state="visible" r:id="rId2"/>
    <sheet name="Stage 1" sheetId="3" state="visible" r:id="rId3"/>
    <sheet name="Stage 2" sheetId="4" state="visible" r:id="rId4"/>
    <sheet name="Stage 3" sheetId="5" state="visible" r:id="rId5"/>
    <sheet name="Stage 4" sheetId="6" state="visible" r:id="rId6"/>
    <sheet name="Stage 5" sheetId="7" state="visible" r:id="rId7"/>
    <sheet name="Replay" sheetId="8" state="visible" r:id="rId8"/>
    <sheet name="AI Questions" sheetId="9" state="visible" r:id="rId9"/>
  </sheets>
  <definedNames>
    <definedName name="_xlnm._FilterDatabase" localSheetId="2" hidden="1">'Stage 1'!$A$5:$Q$65</definedName>
    <definedName name="_xlnm._FilterDatabase" localSheetId="3" hidden="1">'Stage 2'!$A$5:$Q$95</definedName>
    <definedName name="_xlnm._FilterDatabase" localSheetId="4" hidden="1">'Stage 3'!$A$5:$Q$89</definedName>
    <definedName name="_xlnm._FilterDatabase" localSheetId="5" hidden="1">'Stage 4'!$A$5:$Q$85</definedName>
    <definedName name="_xlnm._FilterDatabase" localSheetId="6" hidden="1">'Stage 5'!$A$5:$Q$31</definedName>
    <definedName name="_xlnm._FilterDatabase" localSheetId="7" hidden="1">'Replay'!$A$5:$Q$20</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11">
    <font>
      <name val="Calibri"/>
      <family val="2"/>
      <color theme="1"/>
      <sz val="11"/>
      <scheme val="minor"/>
    </font>
    <font>
      <name val="Arial"/>
      <b val="1"/>
      <sz val="15"/>
    </font>
    <font>
      <name val="Arial"/>
      <sz val="10"/>
    </font>
    <font>
      <name val="Arial"/>
      <i val="1"/>
      <color rgb="00595959"/>
      <sz val="9"/>
    </font>
    <font>
      <name val="Arial"/>
      <b val="1"/>
      <color rgb="00FFFFFF"/>
      <sz val="10"/>
    </font>
    <font>
      <name val="Arial"/>
      <b val="1"/>
      <sz val="11"/>
    </font>
    <font>
      <name val="Arial"/>
      <b val="1"/>
      <sz val="10"/>
    </font>
    <font>
      <name val="Arial"/>
      <color rgb="00008000"/>
      <sz val="10"/>
    </font>
    <font>
      <name val="Arial"/>
      <sz val="11"/>
    </font>
    <font>
      <name val="Arial"/>
      <b val="1"/>
      <sz val="16"/>
    </font>
    <font>
      <name val="Arial"/>
      <b val="1"/>
      <sz val="12"/>
    </font>
  </fonts>
  <fills count="10">
    <fill>
      <patternFill/>
    </fill>
    <fill>
      <patternFill patternType="gray125"/>
    </fill>
    <fill>
      <patternFill patternType="solid">
        <fgColor rgb="001F3864"/>
      </patternFill>
    </fill>
    <fill>
      <patternFill patternType="solid">
        <fgColor rgb="002F5597"/>
      </patternFill>
    </fill>
    <fill>
      <patternFill patternType="solid">
        <fgColor rgb="00E2EFDA"/>
      </patternFill>
    </fill>
    <fill>
      <patternFill patternType="solid">
        <fgColor rgb="00F2F2F2"/>
      </patternFill>
    </fill>
    <fill>
      <patternFill patternType="solid">
        <fgColor rgb="00FFF2CC"/>
      </patternFill>
    </fill>
    <fill>
      <patternFill patternType="solid">
        <fgColor rgb="00DDEBF7"/>
      </patternFill>
    </fill>
    <fill>
      <patternFill patternType="solid">
        <fgColor rgb="00FCE4D6"/>
      </patternFill>
    </fill>
    <fill>
      <patternFill patternType="solid">
        <fgColor rgb="00E4DF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9" fillId="0" borderId="0" applyAlignment="1" pivotButton="0" quotePrefix="0" xfId="0">
      <alignment vertical="top" wrapText="1"/>
    </xf>
    <xf numFmtId="0" fontId="8" fillId="0" borderId="0" applyAlignment="1" pivotButton="0" quotePrefix="0" xfId="0">
      <alignment vertical="top" wrapText="1"/>
    </xf>
    <xf numFmtId="0" fontId="1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1" applyAlignment="1" pivotButton="0" quotePrefix="0" xfId="0">
      <alignment vertical="center" wrapText="1"/>
    </xf>
    <xf numFmtId="0" fontId="5" fillId="0" borderId="1" pivotButton="0" quotePrefix="0" xfId="0"/>
    <xf numFmtId="0" fontId="8" fillId="0" borderId="1" pivotButton="0" quotePrefix="0" xfId="0"/>
    <xf numFmtId="9" fontId="8" fillId="0" borderId="1" pivotButton="0" quotePrefix="0" xfId="0"/>
    <xf numFmtId="0" fontId="2" fillId="0" borderId="0" applyAlignment="1" pivotButton="0" quotePrefix="0" xfId="0">
      <alignment vertical="top" wrapText="1"/>
    </xf>
    <xf numFmtId="0" fontId="3" fillId="0" borderId="0" pivotButton="0" quotePrefix="0" xfId="0"/>
    <xf numFmtId="0" fontId="4" fillId="3" borderId="1" applyAlignment="1" pivotButton="0" quotePrefix="0" xfId="0">
      <alignment vertical="center" wrapText="1"/>
    </xf>
    <xf numFmtId="0" fontId="0" fillId="4" borderId="0" pivotButton="0" quotePrefix="0" xfId="0"/>
    <xf numFmtId="0" fontId="5" fillId="4" borderId="0" pivotButton="0" quotePrefix="0" xfId="0"/>
    <xf numFmtId="0" fontId="2" fillId="5" borderId="1" applyAlignment="1" pivotButton="0" quotePrefix="0" xfId="0">
      <alignment vertical="top" wrapText="1"/>
    </xf>
    <xf numFmtId="0" fontId="2" fillId="6" borderId="1" applyAlignment="1" pivotButton="0" quotePrefix="0" xfId="0">
      <alignment vertical="top" wrapText="1"/>
    </xf>
    <xf numFmtId="164" fontId="2" fillId="0" borderId="1" applyAlignment="1" pivotButton="0" quotePrefix="0" xfId="0">
      <alignment vertical="top" wrapText="1"/>
    </xf>
    <xf numFmtId="0" fontId="6" fillId="0" borderId="1" applyAlignment="1" pivotButton="0" quotePrefix="0" xfId="0">
      <alignment vertical="top" wrapText="1"/>
    </xf>
    <xf numFmtId="0" fontId="2" fillId="7" borderId="1" applyAlignment="1" pivotButton="0" quotePrefix="0" xfId="0">
      <alignment vertical="top" wrapText="1"/>
    </xf>
    <xf numFmtId="0" fontId="2" fillId="0" borderId="1" applyAlignment="1" pivotButton="0" quotePrefix="0" xfId="0">
      <alignment vertical="top" wrapText="1"/>
    </xf>
    <xf numFmtId="0" fontId="0" fillId="8" borderId="0" pivotButton="0" quotePrefix="0" xfId="0"/>
    <xf numFmtId="0" fontId="5" fillId="8" borderId="0" pivotButton="0" quotePrefix="0" xfId="0"/>
    <xf numFmtId="0" fontId="0" fillId="9" borderId="0" pivotButton="0" quotePrefix="0" xfId="0"/>
    <xf numFmtId="0" fontId="5" fillId="9" borderId="0" pivotButton="0" quotePrefix="0" xfId="0"/>
    <xf numFmtId="165" fontId="2" fillId="0" borderId="1" applyAlignment="1" pivotButton="0" quotePrefix="0" xfId="0">
      <alignment vertical="top" wrapText="1"/>
    </xf>
    <xf numFmtId="0" fontId="7" fillId="6" borderId="1" applyAlignment="1" pivotButton="0" quotePrefix="0" xfId="0">
      <alignment vertical="top" wrapText="1"/>
    </xf>
  </cellXfs>
  <cellStyles count="1">
    <cellStyle name="Normal" xfId="0" builtinId="0" hidden="0"/>
  </cellStyles>
  <dxfs count="3">
    <dxf>
      <fill>
        <patternFill patternType="solid">
          <fgColor rgb="00C6EFCE"/>
        </patternFill>
      </fill>
    </dxf>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3"/>
  <sheetViews>
    <sheetView workbookViewId="0">
      <selection activeCell="A1" sqref="A1"/>
    </sheetView>
  </sheetViews>
  <sheetFormatPr baseColWidth="8" defaultRowHeight="15"/>
  <cols>
    <col width="4" customWidth="1" min="1" max="1"/>
    <col width="110" customWidth="1" min="2" max="2"/>
  </cols>
  <sheetData>
    <row r="1">
      <c r="B1" s="1" t="inlineStr">
        <is>
          <t>Aptimizer Phase II: test tracking sheet</t>
        </is>
      </c>
    </row>
    <row r="2">
      <c r="B2" s="2" t="inlineStr">
        <is>
          <t>One tab per stage. Each tab lists every test, grouped by person (A, B, C).</t>
        </is>
      </c>
    </row>
    <row r="3">
      <c r="B3" s="2" t="n"/>
    </row>
    <row r="4">
      <c r="B4" s="3" t="inlineStr">
        <is>
          <t>What you do (testers)</t>
        </is>
      </c>
    </row>
    <row r="5">
      <c r="B5" s="2" t="inlineStr">
        <is>
          <t>1. Open the tab for the stage we're on and find your letter (coloured band).</t>
        </is>
      </c>
    </row>
    <row r="6">
      <c r="B6" s="2" t="inlineStr">
        <is>
          <t>2. Run the test in the app. Type the app's answer in the yellow App answer column.</t>
        </is>
      </c>
    </row>
    <row r="7">
      <c r="B7" s="2" t="inlineStr">
        <is>
          <t>3. Type the correct answer from the book, the code or RERA in Correct answer. Some are already filled in.</t>
        </is>
      </c>
    </row>
    <row r="8">
      <c r="B8" s="2" t="inlineStr">
        <is>
          <t>4. Write where you got it: book name + page, or RERA registration number.</t>
        </is>
      </c>
    </row>
    <row r="9">
      <c r="B9" s="2" t="inlineStr">
        <is>
          <t>5. The Result column turns green (Pass) or red (Fail) by itself. Write anything odd in Notes.</t>
        </is>
      </c>
    </row>
    <row r="10">
      <c r="B10" s="2" t="inlineStr">
        <is>
          <t>6. Every Friday, upload the file to the shared folder. That's it.</t>
        </is>
      </c>
    </row>
    <row r="11">
      <c r="B11" s="2" t="n"/>
    </row>
    <row r="12">
      <c r="B12" s="3" t="inlineStr">
        <is>
          <t>Typing rules</t>
        </is>
      </c>
    </row>
    <row r="13">
      <c r="B13" s="2" t="inlineStr">
        <is>
          <t>• Numbers only in answer cells: type 1404, not 1404 kN. The unit is in the Unit column.</t>
        </is>
      </c>
    </row>
    <row r="14">
      <c r="B14" s="2" t="inlineStr">
        <is>
          <t>• Percentages as plain numbers: type 35 for 35%.</t>
        </is>
      </c>
    </row>
    <row r="15">
      <c r="B15" s="2" t="inlineStr">
        <is>
          <t>• Yes/No and Pass/Fail cells have a drop-down: click the cell and pick.</t>
        </is>
      </c>
    </row>
    <row r="16">
      <c r="B16" s="2" t="inlineStr">
        <is>
          <t>• Can't do a test? Leave it blank and write why in Notes. Claude marks it 'Not tested'.</t>
        </is>
      </c>
    </row>
    <row r="17">
      <c r="B17" s="2" t="n"/>
    </row>
    <row r="18">
      <c r="B18" s="3" t="inlineStr">
        <is>
          <t>Colours</t>
        </is>
      </c>
    </row>
    <row r="19">
      <c r="B19" s="2" t="inlineStr">
        <is>
          <t>Yellow: you fill   ·   Grey: fixed plan, never change   ·   Blue: Claude fills   ·   Green/red: result</t>
        </is>
      </c>
    </row>
    <row r="20">
      <c r="B20" s="2" t="n"/>
    </row>
    <row r="21">
      <c r="B21" s="3" t="inlineStr">
        <is>
          <t>Rules that keep our results honest</t>
        </is>
      </c>
    </row>
    <row r="22">
      <c r="B22" s="2" t="inlineStr">
        <is>
          <t>• The 'Pass if' column was saved on GitHub before testing. Nobody changes it after seeing a result.</t>
        </is>
      </c>
    </row>
    <row r="23">
      <c r="B23" s="2" t="inlineStr">
        <is>
          <t>• A fail is OK as long as it's explained. Claude sorts each fail into one of five reasons.</t>
        </is>
      </c>
    </row>
    <row r="24">
      <c r="B24" s="2" t="inlineStr">
        <is>
          <t>• NBC 2016 is the code we test against everywhere.</t>
        </is>
      </c>
    </row>
    <row r="25">
      <c r="B25" s="2" t="n"/>
    </row>
    <row r="26">
      <c r="B26" s="3" t="inlineStr">
        <is>
          <t>Words used</t>
        </is>
      </c>
    </row>
    <row r="27">
      <c r="B27" s="2" t="inlineStr">
        <is>
          <t>Book: a solved example from a textbook or code. The app should match it 100%.</t>
        </is>
      </c>
    </row>
    <row r="28">
      <c r="B28" s="2" t="inlineStr">
        <is>
          <t>Real: real RERA data or our own hand calculation. Target is 90% of these passing.</t>
        </is>
      </c>
    </row>
    <row r="29">
      <c r="B29" s="2" t="inlineStr">
        <is>
          <t>Off by: how far the app's answer is from the correct answer.</t>
        </is>
      </c>
    </row>
    <row r="30">
      <c r="B30" s="2" t="inlineStr">
        <is>
          <t>Technical columns (tolerance numbers, formulas) are folded away; click the + above column R to see them.</t>
        </is>
      </c>
    </row>
    <row r="31">
      <c r="B31" s="2" t="n"/>
    </row>
    <row r="32">
      <c r="B32" s="3" t="inlineStr">
        <is>
          <t>Example of a filled row (Stage 3)</t>
        </is>
      </c>
    </row>
    <row r="33">
      <c r="B33" s="2" t="inlineStr">
        <is>
          <t>What to test: IITGN EQ3 Example 1: base shear Vb   |   App answer: 1398.6   |   Correct answer: 1404   |   Where you got it: IITGN-WB-EQ3, Example 1, page 12   |   Off by: -0.4%   |   Result: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4" t="inlineStr">
        <is>
          <t>Progress and pass rates (fills itself)</t>
        </is>
      </c>
    </row>
    <row r="2">
      <c r="A2" s="5" t="inlineStr">
        <is>
          <t>Book = solved example from a textbook or code (target 100%).  Real = real RERA data or a hand calculation (target 90%).  Pass rate = passed ÷ (passed + failed).</t>
        </is>
      </c>
    </row>
    <row r="4" ht="45" customHeight="1">
      <c r="A4" s="6" t="inlineStr">
        <is>
          <t>Stage</t>
        </is>
      </c>
      <c r="B4" s="6" t="inlineStr">
        <is>
          <t>Total tests</t>
        </is>
      </c>
      <c r="C4" s="6" t="inlineStr">
        <is>
          <t>Passed</t>
        </is>
      </c>
      <c r="D4" s="6" t="inlineStr">
        <is>
          <t>Failed</t>
        </is>
      </c>
      <c r="E4" s="6" t="inlineStr">
        <is>
          <t>Skipped (not tested)</t>
        </is>
      </c>
      <c r="F4" s="6" t="inlineStr">
        <is>
          <t>Still to do</t>
        </is>
      </c>
      <c r="G4" s="6" t="inlineStr">
        <is>
          <t>Book examples passed</t>
        </is>
      </c>
      <c r="H4" s="6" t="inlineStr">
        <is>
          <t>Book target 100% met?</t>
        </is>
      </c>
      <c r="I4" s="6" t="inlineStr">
        <is>
          <t>Real-data checks passed</t>
        </is>
      </c>
      <c r="J4" s="6" t="inlineStr">
        <is>
          <t>Real target 90% met?</t>
        </is>
      </c>
      <c r="K4" s="6" t="inlineStr">
        <is>
          <t>Before fixes: book passed</t>
        </is>
      </c>
      <c r="L4" s="6" t="inlineStr">
        <is>
          <t>Before fixes: real passed</t>
        </is>
      </c>
    </row>
    <row r="5">
      <c r="A5" s="7" t="inlineStr">
        <is>
          <t>Stage 1</t>
        </is>
      </c>
      <c r="B5" s="8">
        <f>COUNTIF('Stage 1'!$A$6:$A$165,"?*")</f>
        <v/>
      </c>
      <c r="C5" s="8">
        <f>COUNTIF('Stage 1'!$M$6:$M$165,"Pass")</f>
        <v/>
      </c>
      <c r="D5" s="8">
        <f>COUNTIF('Stage 1'!$M$6:$M$165,"Fail")</f>
        <v/>
      </c>
      <c r="E5" s="8">
        <f>COUNTIF('Stage 1'!$M$6:$M$165,"Not tested")</f>
        <v/>
      </c>
      <c r="F5" s="8">
        <f>COUNTIF('Stage 1'!$M$6:$M$165,"Not done yet")+COUNTIF('Stage 1'!$M$6:$M$165,"Claude will check")</f>
        <v/>
      </c>
      <c r="G5" s="9">
        <f>IF((COUNTIFS('Stage 1'!$F$6:$F$165,"Book",'Stage 1'!$M$6:$M$165,"Pass")+COUNTIFS('Stage 1'!$F$6:$F$165,"Book",'Stage 1'!$M$6:$M$165,"Fail"))=0,"",COUNTIFS('Stage 1'!$F$6:$F$165,"Book",'Stage 1'!$M$6:$M$165,"Pass")/(COUNTIFS('Stage 1'!$F$6:$F$165,"Book",'Stage 1'!$M$6:$M$165,"Pass")+COUNTIFS('Stage 1'!$F$6:$F$165,"Book",'Stage 1'!$M$6:$M$165,"Fail")))</f>
        <v/>
      </c>
      <c r="H5" s="8">
        <f>IF(G5="","",IF(G5&gt;=1,"Yes","Not yet"))</f>
        <v/>
      </c>
      <c r="I5" s="9">
        <f>IF((COUNTIFS('Stage 1'!$F$6:$F$165,"Real",'Stage 1'!$M$6:$M$165,"Pass")+COUNTIFS('Stage 1'!$F$6:$F$165,"Real",'Stage 1'!$M$6:$M$165,"Fail"))=0,"",COUNTIFS('Stage 1'!$F$6:$F$165,"Real",'Stage 1'!$M$6:$M$165,"Pass")/(COUNTIFS('Stage 1'!$F$6:$F$165,"Real",'Stage 1'!$M$6:$M$165,"Pass")+COUNTIFS('Stage 1'!$F$6:$F$165,"Real",'Stage 1'!$M$6:$M$165,"Fail")))</f>
        <v/>
      </c>
      <c r="J5" s="8">
        <f>IF(I5="","",IF(I5&gt;=0.9,"Yes","Not yet"))</f>
        <v/>
      </c>
      <c r="K5" s="9">
        <f>IF((COUNTIFS('Stage 1'!$F$6:$F$165,"Book",'Stage 1'!$P$6:$P$165,"Pass")+COUNTIFS('Stage 1'!$F$6:$F$165,"Book",'Stage 1'!$P$6:$P$165,"Fail"))=0,"",COUNTIFS('Stage 1'!$F$6:$F$165,"Book",'Stage 1'!$P$6:$P$165,"Pass")/(COUNTIFS('Stage 1'!$F$6:$F$165,"Book",'Stage 1'!$P$6:$P$165,"Pass")+COUNTIFS('Stage 1'!$F$6:$F$165,"Book",'Stage 1'!$P$6:$P$165,"Fail")))</f>
        <v/>
      </c>
      <c r="L5" s="9">
        <f>IF((COUNTIFS('Stage 1'!$F$6:$F$165,"Real",'Stage 1'!$P$6:$P$165,"Pass")+COUNTIFS('Stage 1'!$F$6:$F$165,"Real",'Stage 1'!$P$6:$P$165,"Fail"))=0,"",COUNTIFS('Stage 1'!$F$6:$F$165,"Real",'Stage 1'!$P$6:$P$165,"Pass")/(COUNTIFS('Stage 1'!$F$6:$F$165,"Real",'Stage 1'!$P$6:$P$165,"Pass")+COUNTIFS('Stage 1'!$F$6:$F$165,"Real",'Stage 1'!$P$6:$P$165,"Fail")))</f>
        <v/>
      </c>
    </row>
    <row r="6">
      <c r="A6" s="7" t="inlineStr">
        <is>
          <t>Stage 2</t>
        </is>
      </c>
      <c r="B6" s="8">
        <f>COUNTIF('Stage 2'!$A$6:$A$195,"?*")</f>
        <v/>
      </c>
      <c r="C6" s="8">
        <f>COUNTIF('Stage 2'!$M$6:$M$195,"Pass")</f>
        <v/>
      </c>
      <c r="D6" s="8">
        <f>COUNTIF('Stage 2'!$M$6:$M$195,"Fail")</f>
        <v/>
      </c>
      <c r="E6" s="8">
        <f>COUNTIF('Stage 2'!$M$6:$M$195,"Not tested")</f>
        <v/>
      </c>
      <c r="F6" s="8">
        <f>COUNTIF('Stage 2'!$M$6:$M$195,"Not done yet")+COUNTIF('Stage 2'!$M$6:$M$195,"Claude will check")</f>
        <v/>
      </c>
      <c r="G6" s="9">
        <f>IF((COUNTIFS('Stage 2'!$F$6:$F$195,"Book",'Stage 2'!$M$6:$M$195,"Pass")+COUNTIFS('Stage 2'!$F$6:$F$195,"Book",'Stage 2'!$M$6:$M$195,"Fail"))=0,"",COUNTIFS('Stage 2'!$F$6:$F$195,"Book",'Stage 2'!$M$6:$M$195,"Pass")/(COUNTIFS('Stage 2'!$F$6:$F$195,"Book",'Stage 2'!$M$6:$M$195,"Pass")+COUNTIFS('Stage 2'!$F$6:$F$195,"Book",'Stage 2'!$M$6:$M$195,"Fail")))</f>
        <v/>
      </c>
      <c r="H6" s="8">
        <f>IF(G6="","",IF(G6&gt;=1,"Yes","Not yet"))</f>
        <v/>
      </c>
      <c r="I6" s="9">
        <f>IF((COUNTIFS('Stage 2'!$F$6:$F$195,"Real",'Stage 2'!$M$6:$M$195,"Pass")+COUNTIFS('Stage 2'!$F$6:$F$195,"Real",'Stage 2'!$M$6:$M$195,"Fail"))=0,"",COUNTIFS('Stage 2'!$F$6:$F$195,"Real",'Stage 2'!$M$6:$M$195,"Pass")/(COUNTIFS('Stage 2'!$F$6:$F$195,"Real",'Stage 2'!$M$6:$M$195,"Pass")+COUNTIFS('Stage 2'!$F$6:$F$195,"Real",'Stage 2'!$M$6:$M$195,"Fail")))</f>
        <v/>
      </c>
      <c r="J6" s="8">
        <f>IF(I6="","",IF(I6&gt;=0.9,"Yes","Not yet"))</f>
        <v/>
      </c>
      <c r="K6" s="9">
        <f>IF((COUNTIFS('Stage 2'!$F$6:$F$195,"Book",'Stage 2'!$P$6:$P$195,"Pass")+COUNTIFS('Stage 2'!$F$6:$F$195,"Book",'Stage 2'!$P$6:$P$195,"Fail"))=0,"",COUNTIFS('Stage 2'!$F$6:$F$195,"Book",'Stage 2'!$P$6:$P$195,"Pass")/(COUNTIFS('Stage 2'!$F$6:$F$195,"Book",'Stage 2'!$P$6:$P$195,"Pass")+COUNTIFS('Stage 2'!$F$6:$F$195,"Book",'Stage 2'!$P$6:$P$195,"Fail")))</f>
        <v/>
      </c>
      <c r="L6" s="9">
        <f>IF((COUNTIFS('Stage 2'!$F$6:$F$195,"Real",'Stage 2'!$P$6:$P$195,"Pass")+COUNTIFS('Stage 2'!$F$6:$F$195,"Real",'Stage 2'!$P$6:$P$195,"Fail"))=0,"",COUNTIFS('Stage 2'!$F$6:$F$195,"Real",'Stage 2'!$P$6:$P$195,"Pass")/(COUNTIFS('Stage 2'!$F$6:$F$195,"Real",'Stage 2'!$P$6:$P$195,"Pass")+COUNTIFS('Stage 2'!$F$6:$F$195,"Real",'Stage 2'!$P$6:$P$195,"Fail")))</f>
        <v/>
      </c>
    </row>
    <row r="7">
      <c r="A7" s="7" t="inlineStr">
        <is>
          <t>Stage 3</t>
        </is>
      </c>
      <c r="B7" s="8">
        <f>COUNTIF('Stage 3'!$A$6:$A$189,"?*")</f>
        <v/>
      </c>
      <c r="C7" s="8">
        <f>COUNTIF('Stage 3'!$M$6:$M$189,"Pass")</f>
        <v/>
      </c>
      <c r="D7" s="8">
        <f>COUNTIF('Stage 3'!$M$6:$M$189,"Fail")</f>
        <v/>
      </c>
      <c r="E7" s="8">
        <f>COUNTIF('Stage 3'!$M$6:$M$189,"Not tested")</f>
        <v/>
      </c>
      <c r="F7" s="8">
        <f>COUNTIF('Stage 3'!$M$6:$M$189,"Not done yet")+COUNTIF('Stage 3'!$M$6:$M$189,"Claude will check")</f>
        <v/>
      </c>
      <c r="G7" s="9">
        <f>IF((COUNTIFS('Stage 3'!$F$6:$F$189,"Book",'Stage 3'!$M$6:$M$189,"Pass")+COUNTIFS('Stage 3'!$F$6:$F$189,"Book",'Stage 3'!$M$6:$M$189,"Fail"))=0,"",COUNTIFS('Stage 3'!$F$6:$F$189,"Book",'Stage 3'!$M$6:$M$189,"Pass")/(COUNTIFS('Stage 3'!$F$6:$F$189,"Book",'Stage 3'!$M$6:$M$189,"Pass")+COUNTIFS('Stage 3'!$F$6:$F$189,"Book",'Stage 3'!$M$6:$M$189,"Fail")))</f>
        <v/>
      </c>
      <c r="H7" s="8">
        <f>IF(G7="","",IF(G7&gt;=1,"Yes","Not yet"))</f>
        <v/>
      </c>
      <c r="I7" s="9">
        <f>IF((COUNTIFS('Stage 3'!$F$6:$F$189,"Real",'Stage 3'!$M$6:$M$189,"Pass")+COUNTIFS('Stage 3'!$F$6:$F$189,"Real",'Stage 3'!$M$6:$M$189,"Fail"))=0,"",COUNTIFS('Stage 3'!$F$6:$F$189,"Real",'Stage 3'!$M$6:$M$189,"Pass")/(COUNTIFS('Stage 3'!$F$6:$F$189,"Real",'Stage 3'!$M$6:$M$189,"Pass")+COUNTIFS('Stage 3'!$F$6:$F$189,"Real",'Stage 3'!$M$6:$M$189,"Fail")))</f>
        <v/>
      </c>
      <c r="J7" s="8">
        <f>IF(I7="","",IF(I7&gt;=0.9,"Yes","Not yet"))</f>
        <v/>
      </c>
      <c r="K7" s="9">
        <f>IF((COUNTIFS('Stage 3'!$F$6:$F$189,"Book",'Stage 3'!$P$6:$P$189,"Pass")+COUNTIFS('Stage 3'!$F$6:$F$189,"Book",'Stage 3'!$P$6:$P$189,"Fail"))=0,"",COUNTIFS('Stage 3'!$F$6:$F$189,"Book",'Stage 3'!$P$6:$P$189,"Pass")/(COUNTIFS('Stage 3'!$F$6:$F$189,"Book",'Stage 3'!$P$6:$P$189,"Pass")+COUNTIFS('Stage 3'!$F$6:$F$189,"Book",'Stage 3'!$P$6:$P$189,"Fail")))</f>
        <v/>
      </c>
      <c r="L7" s="9">
        <f>IF((COUNTIFS('Stage 3'!$F$6:$F$189,"Real",'Stage 3'!$P$6:$P$189,"Pass")+COUNTIFS('Stage 3'!$F$6:$F$189,"Real",'Stage 3'!$P$6:$P$189,"Fail"))=0,"",COUNTIFS('Stage 3'!$F$6:$F$189,"Real",'Stage 3'!$P$6:$P$189,"Pass")/(COUNTIFS('Stage 3'!$F$6:$F$189,"Real",'Stage 3'!$P$6:$P$189,"Pass")+COUNTIFS('Stage 3'!$F$6:$F$189,"Real",'Stage 3'!$P$6:$P$189,"Fail")))</f>
        <v/>
      </c>
    </row>
    <row r="8">
      <c r="A8" s="7" t="inlineStr">
        <is>
          <t>Stage 4</t>
        </is>
      </c>
      <c r="B8" s="8">
        <f>COUNTIF('Stage 4'!$A$6:$A$185,"?*")</f>
        <v/>
      </c>
      <c r="C8" s="8">
        <f>COUNTIF('Stage 4'!$M$6:$M$185,"Pass")</f>
        <v/>
      </c>
      <c r="D8" s="8">
        <f>COUNTIF('Stage 4'!$M$6:$M$185,"Fail")</f>
        <v/>
      </c>
      <c r="E8" s="8">
        <f>COUNTIF('Stage 4'!$M$6:$M$185,"Not tested")</f>
        <v/>
      </c>
      <c r="F8" s="8">
        <f>COUNTIF('Stage 4'!$M$6:$M$185,"Not done yet")+COUNTIF('Stage 4'!$M$6:$M$185,"Claude will check")</f>
        <v/>
      </c>
      <c r="G8" s="9">
        <f>IF((COUNTIFS('Stage 4'!$F$6:$F$185,"Book",'Stage 4'!$M$6:$M$185,"Pass")+COUNTIFS('Stage 4'!$F$6:$F$185,"Book",'Stage 4'!$M$6:$M$185,"Fail"))=0,"",COUNTIFS('Stage 4'!$F$6:$F$185,"Book",'Stage 4'!$M$6:$M$185,"Pass")/(COUNTIFS('Stage 4'!$F$6:$F$185,"Book",'Stage 4'!$M$6:$M$185,"Pass")+COUNTIFS('Stage 4'!$F$6:$F$185,"Book",'Stage 4'!$M$6:$M$185,"Fail")))</f>
        <v/>
      </c>
      <c r="H8" s="8">
        <f>IF(G8="","",IF(G8&gt;=1,"Yes","Not yet"))</f>
        <v/>
      </c>
      <c r="I8" s="9">
        <f>IF((COUNTIFS('Stage 4'!$F$6:$F$185,"Real",'Stage 4'!$M$6:$M$185,"Pass")+COUNTIFS('Stage 4'!$F$6:$F$185,"Real",'Stage 4'!$M$6:$M$185,"Fail"))=0,"",COUNTIFS('Stage 4'!$F$6:$F$185,"Real",'Stage 4'!$M$6:$M$185,"Pass")/(COUNTIFS('Stage 4'!$F$6:$F$185,"Real",'Stage 4'!$M$6:$M$185,"Pass")+COUNTIFS('Stage 4'!$F$6:$F$185,"Real",'Stage 4'!$M$6:$M$185,"Fail")))</f>
        <v/>
      </c>
      <c r="J8" s="8">
        <f>IF(I8="","",IF(I8&gt;=0.9,"Yes","Not yet"))</f>
        <v/>
      </c>
      <c r="K8" s="9">
        <f>IF((COUNTIFS('Stage 4'!$F$6:$F$185,"Book",'Stage 4'!$P$6:$P$185,"Pass")+COUNTIFS('Stage 4'!$F$6:$F$185,"Book",'Stage 4'!$P$6:$P$185,"Fail"))=0,"",COUNTIFS('Stage 4'!$F$6:$F$185,"Book",'Stage 4'!$P$6:$P$185,"Pass")/(COUNTIFS('Stage 4'!$F$6:$F$185,"Book",'Stage 4'!$P$6:$P$185,"Pass")+COUNTIFS('Stage 4'!$F$6:$F$185,"Book",'Stage 4'!$P$6:$P$185,"Fail")))</f>
        <v/>
      </c>
      <c r="L8" s="9">
        <f>IF((COUNTIFS('Stage 4'!$F$6:$F$185,"Real",'Stage 4'!$P$6:$P$185,"Pass")+COUNTIFS('Stage 4'!$F$6:$F$185,"Real",'Stage 4'!$P$6:$P$185,"Fail"))=0,"",COUNTIFS('Stage 4'!$F$6:$F$185,"Real",'Stage 4'!$P$6:$P$185,"Pass")/(COUNTIFS('Stage 4'!$F$6:$F$185,"Real",'Stage 4'!$P$6:$P$185,"Pass")+COUNTIFS('Stage 4'!$F$6:$F$185,"Real",'Stage 4'!$P$6:$P$185,"Fail")))</f>
        <v/>
      </c>
    </row>
    <row r="9">
      <c r="A9" s="7" t="inlineStr">
        <is>
          <t>Stage 5</t>
        </is>
      </c>
      <c r="B9" s="8">
        <f>COUNTIF('Stage 5'!$A$6:$A$131,"?*")</f>
        <v/>
      </c>
      <c r="C9" s="8">
        <f>COUNTIF('Stage 5'!$M$6:$M$131,"Pass")</f>
        <v/>
      </c>
      <c r="D9" s="8">
        <f>COUNTIF('Stage 5'!$M$6:$M$131,"Fail")</f>
        <v/>
      </c>
      <c r="E9" s="8">
        <f>COUNTIF('Stage 5'!$M$6:$M$131,"Not tested")</f>
        <v/>
      </c>
      <c r="F9" s="8">
        <f>COUNTIF('Stage 5'!$M$6:$M$131,"Not done yet")+COUNTIF('Stage 5'!$M$6:$M$131,"Claude will check")</f>
        <v/>
      </c>
      <c r="G9" s="9">
        <f>IF((COUNTIFS('Stage 5'!$F$6:$F$131,"Book",'Stage 5'!$M$6:$M$131,"Pass")+COUNTIFS('Stage 5'!$F$6:$F$131,"Book",'Stage 5'!$M$6:$M$131,"Fail"))=0,"",COUNTIFS('Stage 5'!$F$6:$F$131,"Book",'Stage 5'!$M$6:$M$131,"Pass")/(COUNTIFS('Stage 5'!$F$6:$F$131,"Book",'Stage 5'!$M$6:$M$131,"Pass")+COUNTIFS('Stage 5'!$F$6:$F$131,"Book",'Stage 5'!$M$6:$M$131,"Fail")))</f>
        <v/>
      </c>
      <c r="H9" s="8">
        <f>IF(G9="","",IF(G9&gt;=1,"Yes","Not yet"))</f>
        <v/>
      </c>
      <c r="I9" s="9">
        <f>IF((COUNTIFS('Stage 5'!$F$6:$F$131,"Real",'Stage 5'!$M$6:$M$131,"Pass")+COUNTIFS('Stage 5'!$F$6:$F$131,"Real",'Stage 5'!$M$6:$M$131,"Fail"))=0,"",COUNTIFS('Stage 5'!$F$6:$F$131,"Real",'Stage 5'!$M$6:$M$131,"Pass")/(COUNTIFS('Stage 5'!$F$6:$F$131,"Real",'Stage 5'!$M$6:$M$131,"Pass")+COUNTIFS('Stage 5'!$F$6:$F$131,"Real",'Stage 5'!$M$6:$M$131,"Fail")))</f>
        <v/>
      </c>
      <c r="J9" s="8">
        <f>IF(I9="","",IF(I9&gt;=0.9,"Yes","Not yet"))</f>
        <v/>
      </c>
      <c r="K9" s="9">
        <f>IF((COUNTIFS('Stage 5'!$F$6:$F$131,"Book",'Stage 5'!$P$6:$P$131,"Pass")+COUNTIFS('Stage 5'!$F$6:$F$131,"Book",'Stage 5'!$P$6:$P$131,"Fail"))=0,"",COUNTIFS('Stage 5'!$F$6:$F$131,"Book",'Stage 5'!$P$6:$P$131,"Pass")/(COUNTIFS('Stage 5'!$F$6:$F$131,"Book",'Stage 5'!$P$6:$P$131,"Pass")+COUNTIFS('Stage 5'!$F$6:$F$131,"Book",'Stage 5'!$P$6:$P$131,"Fail")))</f>
        <v/>
      </c>
      <c r="L9" s="9">
        <f>IF((COUNTIFS('Stage 5'!$F$6:$F$131,"Real",'Stage 5'!$P$6:$P$131,"Pass")+COUNTIFS('Stage 5'!$F$6:$F$131,"Real",'Stage 5'!$P$6:$P$131,"Fail"))=0,"",COUNTIFS('Stage 5'!$F$6:$F$131,"Real",'Stage 5'!$P$6:$P$131,"Pass")/(COUNTIFS('Stage 5'!$F$6:$F$131,"Real",'Stage 5'!$P$6:$P$131,"Pass")+COUNTIFS('Stage 5'!$F$6:$F$131,"Real",'Stage 5'!$P$6:$P$131,"Fail")))</f>
        <v/>
      </c>
    </row>
    <row r="10">
      <c r="A10" s="7" t="inlineStr">
        <is>
          <t>Replay</t>
        </is>
      </c>
      <c r="B10" s="8">
        <f>COUNTIF(Replay!$A$6:$A$120,"?*")</f>
        <v/>
      </c>
      <c r="C10" s="8">
        <f>COUNTIF(Replay!$M$6:$M$120,"Pass")</f>
        <v/>
      </c>
      <c r="D10" s="8">
        <f>COUNTIF(Replay!$M$6:$M$120,"Fail")</f>
        <v/>
      </c>
      <c r="E10" s="8">
        <f>COUNTIF(Replay!$M$6:$M$120,"Not tested")</f>
        <v/>
      </c>
      <c r="F10" s="8">
        <f>COUNTIF(Replay!$M$6:$M$120,"Not done yet")+COUNTIF(Replay!$M$6:$M$120,"Claude will check")</f>
        <v/>
      </c>
      <c r="G10" s="9">
        <f>IF((COUNTIFS(Replay!$F$6:$F$120,"Book",Replay!$M$6:$M$120,"Pass")+COUNTIFS(Replay!$F$6:$F$120,"Book",Replay!$M$6:$M$120,"Fail"))=0,"",COUNTIFS(Replay!$F$6:$F$120,"Book",Replay!$M$6:$M$120,"Pass")/(COUNTIFS(Replay!$F$6:$F$120,"Book",Replay!$M$6:$M$120,"Pass")+COUNTIFS(Replay!$F$6:$F$120,"Book",Replay!$M$6:$M$120,"Fail")))</f>
        <v/>
      </c>
      <c r="H10" s="8">
        <f>IF(G10="","",IF(G10&gt;=1,"Yes","Not yet"))</f>
        <v/>
      </c>
      <c r="I10" s="9">
        <f>IF((COUNTIFS(Replay!$F$6:$F$120,"Real",Replay!$M$6:$M$120,"Pass")+COUNTIFS(Replay!$F$6:$F$120,"Real",Replay!$M$6:$M$120,"Fail"))=0,"",COUNTIFS(Replay!$F$6:$F$120,"Real",Replay!$M$6:$M$120,"Pass")/(COUNTIFS(Replay!$F$6:$F$120,"Real",Replay!$M$6:$M$120,"Pass")+COUNTIFS(Replay!$F$6:$F$120,"Real",Replay!$M$6:$M$120,"Fail")))</f>
        <v/>
      </c>
      <c r="J10" s="8">
        <f>IF(I10="","",IF(I10&gt;=0.9,"Yes","Not yet"))</f>
        <v/>
      </c>
      <c r="K10" s="9">
        <f>IF((COUNTIFS(Replay!$F$6:$F$120,"Book",Replay!$P$6:$P$120,"Pass")+COUNTIFS(Replay!$F$6:$F$120,"Book",Replay!$P$6:$P$120,"Fail"))=0,"",COUNTIFS(Replay!$F$6:$F$120,"Book",Replay!$P$6:$P$120,"Pass")/(COUNTIFS(Replay!$F$6:$F$120,"Book",Replay!$P$6:$P$120,"Pass")+COUNTIFS(Replay!$F$6:$F$120,"Book",Replay!$P$6:$P$120,"Fail")))</f>
        <v/>
      </c>
      <c r="L10" s="9">
        <f>IF((COUNTIFS(Replay!$F$6:$F$120,"Real",Replay!$P$6:$P$120,"Pass")+COUNTIFS(Replay!$F$6:$F$120,"Real",Replay!$P$6:$P$120,"Fail"))=0,"",COUNTIFS(Replay!$F$6:$F$120,"Real",Replay!$P$6:$P$120,"Pass")/(COUNTIFS(Replay!$F$6:$F$120,"Real",Replay!$P$6:$P$120,"Pass")+COUNTIFS(Replay!$F$6:$F$120,"Real",Replay!$P$6:$P$120,"Fail")))</f>
        <v/>
      </c>
    </row>
    <row r="11">
      <c r="A11" s="7" t="inlineStr">
        <is>
          <t>All</t>
        </is>
      </c>
      <c r="B11" s="7">
        <f>SUM(B5:B10)</f>
        <v/>
      </c>
      <c r="C11" s="7">
        <f>SUM(C5:C10)</f>
        <v/>
      </c>
      <c r="D11" s="7">
        <f>SUM(D5:D10)</f>
        <v/>
      </c>
      <c r="E11" s="7">
        <f>SUM(E5:E10)</f>
        <v/>
      </c>
      <c r="F11" s="7">
        <f>SUM(F5:F10)</f>
        <v/>
      </c>
    </row>
  </sheetData>
  <conditionalFormatting sqref="H5:H11">
    <cfRule type="cellIs" priority="1" operator="equal" dxfId="0">
      <formula>"Yes"</formula>
    </cfRule>
  </conditionalFormatting>
  <conditionalFormatting sqref="J5:J11">
    <cfRule type="cellIs" priority="2" operator="equal" dxfId="0">
      <formula>"Yes"</formula>
    </cfRule>
  </conditionalFormatting>
  <pageMargins left="0.75" right="0.75" top="1" bottom="1" header="0.5" footer="0.5"/>
</worksheet>
</file>

<file path=xl/worksheets/sheet3.xml><?xml version="1.0" encoding="utf-8"?>
<worksheet xmlns="http://schemas.openxmlformats.org/spreadsheetml/2006/main">
  <sheetPr>
    <outlinePr summaryBelow="1" summaryRight="0"/>
    <pageSetUpPr/>
  </sheetPr>
  <dimension ref="A1:Y6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8" customWidth="1" min="3" max="3"/>
    <col width="46" customWidth="1" min="4" max="4"/>
    <col width="10" customWidth="1" min="5" max="5"/>
    <col width="8" customWidth="1" min="6" max="6"/>
    <col width="30" customWidth="1" min="7" max="7"/>
    <col width="24" customWidth="1" min="8" max="8"/>
    <col width="13" customWidth="1" min="9" max="9"/>
    <col width="13" customWidth="1" min="10" max="10"/>
    <col width="28" customWidth="1" min="11" max="11"/>
    <col width="10" customWidth="1" min="12" max="12"/>
    <col width="13" customWidth="1" min="13" max="13"/>
    <col width="30" customWidth="1" min="14" max="14"/>
    <col width="11" customWidth="1" min="15" max="15"/>
    <col width="11" customWidth="1" min="16" max="16"/>
    <col width="18" customWidth="1" min="17" max="17"/>
    <col hidden="1" outlineLevel="1" width="24" customWidth="1" min="18" max="25"/>
  </cols>
  <sheetData>
    <row r="1">
      <c r="A1" s="4" t="inlineStr">
        <is>
          <t>Stage 1 Site analysis enhancement (week 2)</t>
        </is>
      </c>
    </row>
    <row r="2" ht="22" customHeight="1">
      <c r="A2" s="10" t="inlineStr">
        <is>
          <t>HOW TO FILL:  1) Find your letter.  2) Run the test in the app and type its answer in App answer.  3) Type the correct answer from the book or RERA in Correct answer (some are already filled).  4) Write where you got it.  5) Result fills itself. Don't change grey cells.</t>
        </is>
      </c>
    </row>
    <row r="3" ht="22" customHeight="1"/>
    <row r="4">
      <c r="A4" s="11" t="inlineStr">
        <is>
          <t>Yellow = you fill  ·  Grey = fixed plan, don't change  ·  Blue = Claude fills  ·  Click + above column R to see technical details</t>
        </is>
      </c>
    </row>
    <row r="5" ht="42" customHeight="1">
      <c r="A5" s="6" t="inlineStr">
        <is>
          <t>#</t>
        </is>
      </c>
      <c r="B5" s="6" t="inlineStr">
        <is>
          <t>Who</t>
        </is>
      </c>
      <c r="C5" s="6" t="inlineStr">
        <is>
          <t>Topic</t>
        </is>
      </c>
      <c r="D5" s="6" t="inlineStr">
        <is>
          <t>What to test</t>
        </is>
      </c>
      <c r="E5" s="6" t="inlineStr">
        <is>
          <t>Unit</t>
        </is>
      </c>
      <c r="F5" s="6" t="inlineStr">
        <is>
          <t>Type</t>
        </is>
      </c>
      <c r="G5" s="6" t="inlineStr">
        <is>
          <t>Compare with</t>
        </is>
      </c>
      <c r="H5" s="6" t="inlineStr">
        <is>
          <t>Pass if</t>
        </is>
      </c>
      <c r="I5" s="6" t="inlineStr">
        <is>
          <t>App answer</t>
        </is>
      </c>
      <c r="J5" s="6" t="inlineStr">
        <is>
          <t>Correct answer</t>
        </is>
      </c>
      <c r="K5" s="6" t="inlineStr">
        <is>
          <t>Where you got it (book + page, or RERA no.)</t>
        </is>
      </c>
      <c r="L5" s="6" t="inlineStr">
        <is>
          <t>Off by</t>
        </is>
      </c>
      <c r="M5" s="6" t="inlineStr">
        <is>
          <t>Result</t>
        </is>
      </c>
      <c r="N5" s="6" t="inlineStr">
        <is>
          <t>Notes</t>
        </is>
      </c>
      <c r="O5" s="12" t="inlineStr">
        <is>
          <t>Claude: override</t>
        </is>
      </c>
      <c r="P5" s="12" t="inlineStr">
        <is>
          <t>Claude: first-run result</t>
        </is>
      </c>
      <c r="Q5" s="12" t="inlineStr">
        <is>
          <t>Claude: why it failed</t>
        </is>
      </c>
      <c r="R5" s="6" t="inlineStr">
        <is>
          <t>Code / clause</t>
        </is>
      </c>
      <c r="S5" s="6" t="inlineStr">
        <is>
          <t>Edition</t>
        </is>
      </c>
      <c r="T5" s="6" t="inlineStr">
        <is>
          <t>Tol type</t>
        </is>
      </c>
      <c r="U5" s="6" t="inlineStr">
        <is>
          <t>Tol low</t>
        </is>
      </c>
      <c r="V5" s="6" t="inlineStr">
        <is>
          <t>Tol high</t>
        </is>
      </c>
      <c r="W5" s="6" t="inlineStr">
        <is>
          <t>Difference</t>
        </is>
      </c>
      <c r="X5" s="6" t="inlineStr">
        <is>
          <t>Error %</t>
        </is>
      </c>
      <c r="Y5" s="6" t="inlineStr">
        <is>
          <t>Auto result</t>
        </is>
      </c>
    </row>
    <row r="6">
      <c r="A6" s="13" t="n"/>
      <c r="B6" s="14" t="inlineStr">
        <is>
          <t>A's tests (21)</t>
        </is>
      </c>
      <c r="C6" s="13" t="n"/>
      <c r="D6" s="13" t="n"/>
      <c r="E6" s="13" t="n"/>
      <c r="F6" s="13" t="n"/>
      <c r="G6" s="13" t="n"/>
      <c r="H6" s="13" t="n"/>
      <c r="I6" s="13" t="n"/>
      <c r="J6" s="13" t="n"/>
      <c r="K6" s="13" t="n"/>
      <c r="L6" s="13" t="n"/>
      <c r="M6" s="13" t="n"/>
      <c r="N6" s="13" t="n"/>
      <c r="O6" s="13" t="n"/>
      <c r="P6" s="13" t="n"/>
      <c r="Q6" s="13" t="n"/>
    </row>
    <row r="7">
      <c r="A7" s="15" t="inlineStr">
        <is>
          <t>S1-001</t>
        </is>
      </c>
      <c r="B7" s="15" t="inlineStr">
        <is>
          <t>A</t>
        </is>
      </c>
      <c r="C7" s="15" t="inlineStr">
        <is>
          <t>Map source</t>
        </is>
      </c>
      <c r="D7" s="15" t="inlineStr">
        <is>
          <t>Plot 1: app reading matches saved Google reply</t>
        </is>
      </c>
      <c r="E7" s="15" t="inlineStr">
        <is>
          <t>Yes/No</t>
        </is>
      </c>
      <c r="F7" s="15" t="inlineStr">
        <is>
          <t>Book</t>
        </is>
      </c>
      <c r="G7" s="15" t="inlineStr">
        <is>
          <t>Saved Google API reply file</t>
        </is>
      </c>
      <c r="H7" s="15" t="inlineStr">
        <is>
          <t>Same as correct answer</t>
        </is>
      </c>
      <c r="I7" s="16" t="n"/>
      <c r="J7" s="16" t="inlineStr">
        <is>
          <t>Yes</t>
        </is>
      </c>
      <c r="K7" s="16" t="n"/>
      <c r="L7" s="17">
        <f>IF(W7="","",W7)</f>
        <v/>
      </c>
      <c r="M7" s="18">
        <f>IF(O7&lt;&gt;"",O7,Y7)</f>
        <v/>
      </c>
      <c r="N7" s="16" t="n"/>
      <c r="O7" s="19" t="n"/>
      <c r="P7" s="19" t="n"/>
      <c r="Q7" s="19" t="n"/>
      <c r="R7" s="20" t="inlineStr">
        <is>
          <t>—</t>
        </is>
      </c>
      <c r="S7" s="20" t="inlineStr">
        <is>
          <t>n/a</t>
        </is>
      </c>
      <c r="T7" s="20" t="inlineStr">
        <is>
          <t>Exact</t>
        </is>
      </c>
      <c r="U7" s="20" t="n"/>
      <c r="V7" s="20" t="n"/>
      <c r="W7" s="20">
        <f>IF(AND(ISNUMBER(I7),ISNUMBER(J7)),I7-J7,"")</f>
        <v/>
      </c>
      <c r="X7" s="20">
        <f>IF(AND(ISNUMBER(I7),ISNUMBER(J7)),IF(J7=0,"",(I7-J7)/ABS(J7)),"")</f>
        <v/>
      </c>
      <c r="Y7" s="20">
        <f>IF(T7="Advisory","No pass mark",IF(T7="Manual","Claude will check",IF(I7="","Not done yet",IF(T7="Exact",IF(AND(ISNUMBER(I7),ISNUMBER(J7)),IF(ROUND(I7,2)=ROUND(J7,2),"Pass","Fail"),IF(TRIM(LOWER(I7&amp;""))=TRIM(LOWER(J7&amp;"")),"Pass","Fail")),IF(T7="Min",IF(I7&gt;=U7-1E-9,"Pass","Fail"),IF(T7="Between",IF(AND(I7&gt;=U7,I7&lt;=V7),"Pass","Fail"),IF(J7="","Not done yet",IF(T7="±%",IF(X7="","Check correct answer",IF(ABS(X7)*100&lt;=V7+1E-9,"Pass","Fail")),IF(T7="% range",IF(X7="","Check correct answer",IF(AND(X7*100&gt;=U7-1E-9,X7*100&lt;=V7+1E-9),"Pass","Fail")),IF(T7="±abs",IF(ABS(W7)&lt;=V7+1E-9,"Pass","Fail"),"Check type"))))))))))</f>
        <v/>
      </c>
    </row>
    <row r="8">
      <c r="A8" s="15" t="inlineStr">
        <is>
          <t>S1-002</t>
        </is>
      </c>
      <c r="B8" s="15" t="inlineStr">
        <is>
          <t>A</t>
        </is>
      </c>
      <c r="C8" s="15" t="inlineStr">
        <is>
          <t>Map source</t>
        </is>
      </c>
      <c r="D8" s="15" t="inlineStr">
        <is>
          <t>Plot 2: app reading matches saved Google reply</t>
        </is>
      </c>
      <c r="E8" s="15" t="inlineStr">
        <is>
          <t>Yes/No</t>
        </is>
      </c>
      <c r="F8" s="15" t="inlineStr">
        <is>
          <t>Book</t>
        </is>
      </c>
      <c r="G8" s="15" t="inlineStr">
        <is>
          <t>Saved Google API reply file</t>
        </is>
      </c>
      <c r="H8" s="15" t="inlineStr">
        <is>
          <t>Same as correct answer</t>
        </is>
      </c>
      <c r="I8" s="16" t="n"/>
      <c r="J8" s="16" t="inlineStr">
        <is>
          <t>Yes</t>
        </is>
      </c>
      <c r="K8" s="16" t="n"/>
      <c r="L8" s="17">
        <f>IF(W8="","",W8)</f>
        <v/>
      </c>
      <c r="M8" s="18">
        <f>IF(O8&lt;&gt;"",O8,Y8)</f>
        <v/>
      </c>
      <c r="N8" s="16" t="n"/>
      <c r="O8" s="19" t="n"/>
      <c r="P8" s="19" t="n"/>
      <c r="Q8" s="19" t="n"/>
      <c r="R8" s="20" t="inlineStr">
        <is>
          <t>—</t>
        </is>
      </c>
      <c r="S8" s="20" t="inlineStr">
        <is>
          <t>n/a</t>
        </is>
      </c>
      <c r="T8" s="20" t="inlineStr">
        <is>
          <t>Exact</t>
        </is>
      </c>
      <c r="U8" s="20" t="n"/>
      <c r="V8" s="20" t="n"/>
      <c r="W8" s="20">
        <f>IF(AND(ISNUMBER(I8),ISNUMBER(J8)),I8-J8,"")</f>
        <v/>
      </c>
      <c r="X8" s="20">
        <f>IF(AND(ISNUMBER(I8),ISNUMBER(J8)),IF(J8=0,"",(I8-J8)/ABS(J8)),"")</f>
        <v/>
      </c>
      <c r="Y8" s="20">
        <f>IF(T8="Advisory","No pass mark",IF(T8="Manual","Claude will check",IF(I8="","Not done yet",IF(T8="Exact",IF(AND(ISNUMBER(I8),ISNUMBER(J8)),IF(ROUND(I8,2)=ROUND(J8,2),"Pass","Fail"),IF(TRIM(LOWER(I8&amp;""))=TRIM(LOWER(J8&amp;"")),"Pass","Fail")),IF(T8="Min",IF(I8&gt;=U8-1E-9,"Pass","Fail"),IF(T8="Between",IF(AND(I8&gt;=U8,I8&lt;=V8),"Pass","Fail"),IF(J8="","Not done yet",IF(T8="±%",IF(X8="","Check correct answer",IF(ABS(X8)*100&lt;=V8+1E-9,"Pass","Fail")),IF(T8="% range",IF(X8="","Check correct answer",IF(AND(X8*100&gt;=U8-1E-9,X8*100&lt;=V8+1E-9),"Pass","Fail")),IF(T8="±abs",IF(ABS(W8)&lt;=V8+1E-9,"Pass","Fail"),"Check type"))))))))))</f>
        <v/>
      </c>
    </row>
    <row r="9">
      <c r="A9" s="15" t="inlineStr">
        <is>
          <t>S1-003</t>
        </is>
      </c>
      <c r="B9" s="15" t="inlineStr">
        <is>
          <t>A</t>
        </is>
      </c>
      <c r="C9" s="15" t="inlineStr">
        <is>
          <t>Map source</t>
        </is>
      </c>
      <c r="D9" s="15" t="inlineStr">
        <is>
          <t>Plot 3: app reading matches saved Google reply</t>
        </is>
      </c>
      <c r="E9" s="15" t="inlineStr">
        <is>
          <t>Yes/No</t>
        </is>
      </c>
      <c r="F9" s="15" t="inlineStr">
        <is>
          <t>Book</t>
        </is>
      </c>
      <c r="G9" s="15" t="inlineStr">
        <is>
          <t>Saved Google API reply file</t>
        </is>
      </c>
      <c r="H9" s="15" t="inlineStr">
        <is>
          <t>Same as correct answer</t>
        </is>
      </c>
      <c r="I9" s="16" t="n"/>
      <c r="J9" s="16" t="inlineStr">
        <is>
          <t>Yes</t>
        </is>
      </c>
      <c r="K9" s="16" t="n"/>
      <c r="L9" s="17">
        <f>IF(W9="","",W9)</f>
        <v/>
      </c>
      <c r="M9" s="18">
        <f>IF(O9&lt;&gt;"",O9,Y9)</f>
        <v/>
      </c>
      <c r="N9" s="16" t="n"/>
      <c r="O9" s="19" t="n"/>
      <c r="P9" s="19" t="n"/>
      <c r="Q9" s="19" t="n"/>
      <c r="R9" s="20" t="inlineStr">
        <is>
          <t>—</t>
        </is>
      </c>
      <c r="S9" s="20" t="inlineStr">
        <is>
          <t>n/a</t>
        </is>
      </c>
      <c r="T9" s="20" t="inlineStr">
        <is>
          <t>Exact</t>
        </is>
      </c>
      <c r="U9" s="20" t="n"/>
      <c r="V9" s="20" t="n"/>
      <c r="W9" s="20">
        <f>IF(AND(ISNUMBER(I9),ISNUMBER(J9)),I9-J9,"")</f>
        <v/>
      </c>
      <c r="X9" s="20">
        <f>IF(AND(ISNUMBER(I9),ISNUMBER(J9)),IF(J9=0,"",(I9-J9)/ABS(J9)),"")</f>
        <v/>
      </c>
      <c r="Y9" s="20">
        <f>IF(T9="Advisory","No pass mark",IF(T9="Manual","Claude will check",IF(I9="","Not done yet",IF(T9="Exact",IF(AND(ISNUMBER(I9),ISNUMBER(J9)),IF(ROUND(I9,2)=ROUND(J9,2),"Pass","Fail"),IF(TRIM(LOWER(I9&amp;""))=TRIM(LOWER(J9&amp;"")),"Pass","Fail")),IF(T9="Min",IF(I9&gt;=U9-1E-9,"Pass","Fail"),IF(T9="Between",IF(AND(I9&gt;=U9,I9&lt;=V9),"Pass","Fail"),IF(J9="","Not done yet",IF(T9="±%",IF(X9="","Check correct answer",IF(ABS(X9)*100&lt;=V9+1E-9,"Pass","Fail")),IF(T9="% range",IF(X9="","Check correct answer",IF(AND(X9*100&gt;=U9-1E-9,X9*100&lt;=V9+1E-9),"Pass","Fail")),IF(T9="±abs",IF(ABS(W9)&lt;=V9+1E-9,"Pass","Fail"),"Check type"))))))))))</f>
        <v/>
      </c>
    </row>
    <row r="10">
      <c r="A10" s="15" t="inlineStr">
        <is>
          <t>S1-004</t>
        </is>
      </c>
      <c r="B10" s="15" t="inlineStr">
        <is>
          <t>A</t>
        </is>
      </c>
      <c r="C10" s="15" t="inlineStr">
        <is>
          <t>Map source</t>
        </is>
      </c>
      <c r="D10" s="15" t="inlineStr">
        <is>
          <t>Plot 4: app reading matches saved Google reply</t>
        </is>
      </c>
      <c r="E10" s="15" t="inlineStr">
        <is>
          <t>Yes/No</t>
        </is>
      </c>
      <c r="F10" s="15" t="inlineStr">
        <is>
          <t>Book</t>
        </is>
      </c>
      <c r="G10" s="15" t="inlineStr">
        <is>
          <t>Saved Google API reply file</t>
        </is>
      </c>
      <c r="H10" s="15" t="inlineStr">
        <is>
          <t>Same as correct answer</t>
        </is>
      </c>
      <c r="I10" s="16" t="n"/>
      <c r="J10" s="16" t="inlineStr">
        <is>
          <t>Yes</t>
        </is>
      </c>
      <c r="K10" s="16" t="n"/>
      <c r="L10" s="17">
        <f>IF(W10="","",W10)</f>
        <v/>
      </c>
      <c r="M10" s="18">
        <f>IF(O10&lt;&gt;"",O10,Y10)</f>
        <v/>
      </c>
      <c r="N10" s="16" t="n"/>
      <c r="O10" s="19" t="n"/>
      <c r="P10" s="19" t="n"/>
      <c r="Q10" s="19" t="n"/>
      <c r="R10" s="20" t="inlineStr">
        <is>
          <t>—</t>
        </is>
      </c>
      <c r="S10" s="20" t="inlineStr">
        <is>
          <t>n/a</t>
        </is>
      </c>
      <c r="T10" s="20" t="inlineStr">
        <is>
          <t>Exact</t>
        </is>
      </c>
      <c r="U10" s="20" t="n"/>
      <c r="V10" s="20" t="n"/>
      <c r="W10" s="20">
        <f>IF(AND(ISNUMBER(I10),ISNUMBER(J10)),I10-J10,"")</f>
        <v/>
      </c>
      <c r="X10" s="20">
        <f>IF(AND(ISNUMBER(I10),ISNUMBER(J10)),IF(J10=0,"",(I10-J10)/ABS(J10)),"")</f>
        <v/>
      </c>
      <c r="Y10" s="20">
        <f>IF(T10="Advisory","No pass mark",IF(T10="Manual","Claude will check",IF(I10="","Not done yet",IF(T10="Exact",IF(AND(ISNUMBER(I10),ISNUMBER(J10)),IF(ROUND(I10,2)=ROUND(J10,2),"Pass","Fail"),IF(TRIM(LOWER(I10&amp;""))=TRIM(LOWER(J10&amp;"")),"Pass","Fail")),IF(T10="Min",IF(I10&gt;=U10-1E-9,"Pass","Fail"),IF(T10="Between",IF(AND(I10&gt;=U10,I10&lt;=V10),"Pass","Fail"),IF(J10="","Not done yet",IF(T10="±%",IF(X10="","Check correct answer",IF(ABS(X10)*100&lt;=V10+1E-9,"Pass","Fail")),IF(T10="% range",IF(X10="","Check correct answer",IF(AND(X10*100&gt;=U10-1E-9,X10*100&lt;=V10+1E-9),"Pass","Fail")),IF(T10="±abs",IF(ABS(W10)&lt;=V10+1E-9,"Pass","Fail"),"Check type"))))))))))</f>
        <v/>
      </c>
    </row>
    <row r="11">
      <c r="A11" s="15" t="inlineStr">
        <is>
          <t>S1-005</t>
        </is>
      </c>
      <c r="B11" s="15" t="inlineStr">
        <is>
          <t>A</t>
        </is>
      </c>
      <c r="C11" s="15" t="inlineStr">
        <is>
          <t>Map source</t>
        </is>
      </c>
      <c r="D11" s="15" t="inlineStr">
        <is>
          <t>Plot 5: app reading matches saved Google reply</t>
        </is>
      </c>
      <c r="E11" s="15" t="inlineStr">
        <is>
          <t>Yes/No</t>
        </is>
      </c>
      <c r="F11" s="15" t="inlineStr">
        <is>
          <t>Book</t>
        </is>
      </c>
      <c r="G11" s="15" t="inlineStr">
        <is>
          <t>Saved Google API reply file</t>
        </is>
      </c>
      <c r="H11" s="15" t="inlineStr">
        <is>
          <t>Same as correct answer</t>
        </is>
      </c>
      <c r="I11" s="16" t="n"/>
      <c r="J11" s="16" t="inlineStr">
        <is>
          <t>Yes</t>
        </is>
      </c>
      <c r="K11" s="16" t="n"/>
      <c r="L11" s="17">
        <f>IF(W11="","",W11)</f>
        <v/>
      </c>
      <c r="M11" s="18">
        <f>IF(O11&lt;&gt;"",O11,Y11)</f>
        <v/>
      </c>
      <c r="N11" s="16" t="n"/>
      <c r="O11" s="19" t="n"/>
      <c r="P11" s="19" t="n"/>
      <c r="Q11" s="19" t="n"/>
      <c r="R11" s="20" t="inlineStr">
        <is>
          <t>—</t>
        </is>
      </c>
      <c r="S11" s="20" t="inlineStr">
        <is>
          <t>n/a</t>
        </is>
      </c>
      <c r="T11" s="20" t="inlineStr">
        <is>
          <t>Exact</t>
        </is>
      </c>
      <c r="U11" s="20" t="n"/>
      <c r="V11" s="20" t="n"/>
      <c r="W11" s="20">
        <f>IF(AND(ISNUMBER(I11),ISNUMBER(J11)),I11-J11,"")</f>
        <v/>
      </c>
      <c r="X11" s="20">
        <f>IF(AND(ISNUMBER(I11),ISNUMBER(J11)),IF(J11=0,"",(I11-J11)/ABS(J11)),"")</f>
        <v/>
      </c>
      <c r="Y11" s="20">
        <f>IF(T11="Advisory","No pass mark",IF(T11="Manual","Claude will check",IF(I11="","Not done yet",IF(T11="Exact",IF(AND(ISNUMBER(I11),ISNUMBER(J11)),IF(ROUND(I11,2)=ROUND(J11,2),"Pass","Fail"),IF(TRIM(LOWER(I11&amp;""))=TRIM(LOWER(J11&amp;"")),"Pass","Fail")),IF(T11="Min",IF(I11&gt;=U11-1E-9,"Pass","Fail"),IF(T11="Between",IF(AND(I11&gt;=U11,I11&lt;=V11),"Pass","Fail"),IF(J11="","Not done yet",IF(T11="±%",IF(X11="","Check correct answer",IF(ABS(X11)*100&lt;=V11+1E-9,"Pass","Fail")),IF(T11="% range",IF(X11="","Check correct answer",IF(AND(X11*100&gt;=U11-1E-9,X11*100&lt;=V11+1E-9),"Pass","Fail")),IF(T11="±abs",IF(ABS(W11)&lt;=V11+1E-9,"Pass","Fail"),"Check type"))))))))))</f>
        <v/>
      </c>
    </row>
    <row r="12">
      <c r="A12" s="15" t="inlineStr">
        <is>
          <t>S1-006</t>
        </is>
      </c>
      <c r="B12" s="15" t="inlineStr">
        <is>
          <t>A</t>
        </is>
      </c>
      <c r="C12" s="15" t="inlineStr">
        <is>
          <t>Map source</t>
        </is>
      </c>
      <c r="D12" s="15" t="inlineStr">
        <is>
          <t>Plot 6: app reading matches saved Google reply</t>
        </is>
      </c>
      <c r="E12" s="15" t="inlineStr">
        <is>
          <t>Yes/No</t>
        </is>
      </c>
      <c r="F12" s="15" t="inlineStr">
        <is>
          <t>Book</t>
        </is>
      </c>
      <c r="G12" s="15" t="inlineStr">
        <is>
          <t>Saved Google API reply file</t>
        </is>
      </c>
      <c r="H12" s="15" t="inlineStr">
        <is>
          <t>Same as correct answer</t>
        </is>
      </c>
      <c r="I12" s="16" t="n"/>
      <c r="J12" s="16" t="inlineStr">
        <is>
          <t>Yes</t>
        </is>
      </c>
      <c r="K12" s="16" t="n"/>
      <c r="L12" s="17">
        <f>IF(W12="","",W12)</f>
        <v/>
      </c>
      <c r="M12" s="18">
        <f>IF(O12&lt;&gt;"",O12,Y12)</f>
        <v/>
      </c>
      <c r="N12" s="16" t="n"/>
      <c r="O12" s="19" t="n"/>
      <c r="P12" s="19" t="n"/>
      <c r="Q12" s="19" t="n"/>
      <c r="R12" s="20" t="inlineStr">
        <is>
          <t>—</t>
        </is>
      </c>
      <c r="S12" s="20" t="inlineStr">
        <is>
          <t>n/a</t>
        </is>
      </c>
      <c r="T12" s="20" t="inlineStr">
        <is>
          <t>Exact</t>
        </is>
      </c>
      <c r="U12" s="20" t="n"/>
      <c r="V12" s="20" t="n"/>
      <c r="W12" s="20">
        <f>IF(AND(ISNUMBER(I12),ISNUMBER(J12)),I12-J12,"")</f>
        <v/>
      </c>
      <c r="X12" s="20">
        <f>IF(AND(ISNUMBER(I12),ISNUMBER(J12)),IF(J12=0,"",(I12-J12)/ABS(J12)),"")</f>
        <v/>
      </c>
      <c r="Y12" s="20">
        <f>IF(T12="Advisory","No pass mark",IF(T12="Manual","Claude will check",IF(I12="","Not done yet",IF(T12="Exact",IF(AND(ISNUMBER(I12),ISNUMBER(J12)),IF(ROUND(I12,2)=ROUND(J12,2),"Pass","Fail"),IF(TRIM(LOWER(I12&amp;""))=TRIM(LOWER(J12&amp;"")),"Pass","Fail")),IF(T12="Min",IF(I12&gt;=U12-1E-9,"Pass","Fail"),IF(T12="Between",IF(AND(I12&gt;=U12,I12&lt;=V12),"Pass","Fail"),IF(J12="","Not done yet",IF(T12="±%",IF(X12="","Check correct answer",IF(ABS(X12)*100&lt;=V12+1E-9,"Pass","Fail")),IF(T12="% range",IF(X12="","Check correct answer",IF(AND(X12*100&gt;=U12-1E-9,X12*100&lt;=V12+1E-9),"Pass","Fail")),IF(T12="±abs",IF(ABS(W12)&lt;=V12+1E-9,"Pass","Fail"),"Check type"))))))))))</f>
        <v/>
      </c>
    </row>
    <row r="13">
      <c r="A13" s="15" t="inlineStr">
        <is>
          <t>S1-007</t>
        </is>
      </c>
      <c r="B13" s="15" t="inlineStr">
        <is>
          <t>A</t>
        </is>
      </c>
      <c r="C13" s="15" t="inlineStr">
        <is>
          <t>Map source</t>
        </is>
      </c>
      <c r="D13" s="15" t="inlineStr">
        <is>
          <t>Plot 7: app reading matches saved Google reply</t>
        </is>
      </c>
      <c r="E13" s="15" t="inlineStr">
        <is>
          <t>Yes/No</t>
        </is>
      </c>
      <c r="F13" s="15" t="inlineStr">
        <is>
          <t>Book</t>
        </is>
      </c>
      <c r="G13" s="15" t="inlineStr">
        <is>
          <t>Saved Google API reply file</t>
        </is>
      </c>
      <c r="H13" s="15" t="inlineStr">
        <is>
          <t>Same as correct answer</t>
        </is>
      </c>
      <c r="I13" s="16" t="n"/>
      <c r="J13" s="16" t="inlineStr">
        <is>
          <t>Yes</t>
        </is>
      </c>
      <c r="K13" s="16" t="n"/>
      <c r="L13" s="17">
        <f>IF(W13="","",W13)</f>
        <v/>
      </c>
      <c r="M13" s="18">
        <f>IF(O13&lt;&gt;"",O13,Y13)</f>
        <v/>
      </c>
      <c r="N13" s="16" t="n"/>
      <c r="O13" s="19" t="n"/>
      <c r="P13" s="19" t="n"/>
      <c r="Q13" s="19" t="n"/>
      <c r="R13" s="20" t="inlineStr">
        <is>
          <t>—</t>
        </is>
      </c>
      <c r="S13" s="20" t="inlineStr">
        <is>
          <t>n/a</t>
        </is>
      </c>
      <c r="T13" s="20" t="inlineStr">
        <is>
          <t>Exact</t>
        </is>
      </c>
      <c r="U13" s="20" t="n"/>
      <c r="V13" s="20" t="n"/>
      <c r="W13" s="20">
        <f>IF(AND(ISNUMBER(I13),ISNUMBER(J13)),I13-J13,"")</f>
        <v/>
      </c>
      <c r="X13" s="20">
        <f>IF(AND(ISNUMBER(I13),ISNUMBER(J13)),IF(J13=0,"",(I13-J13)/ABS(J13)),"")</f>
        <v/>
      </c>
      <c r="Y13" s="20">
        <f>IF(T13="Advisory","No pass mark",IF(T13="Manual","Claude will check",IF(I13="","Not done yet",IF(T13="Exact",IF(AND(ISNUMBER(I13),ISNUMBER(J13)),IF(ROUND(I13,2)=ROUND(J13,2),"Pass","Fail"),IF(TRIM(LOWER(I13&amp;""))=TRIM(LOWER(J13&amp;"")),"Pass","Fail")),IF(T13="Min",IF(I13&gt;=U13-1E-9,"Pass","Fail"),IF(T13="Between",IF(AND(I13&gt;=U13,I13&lt;=V13),"Pass","Fail"),IF(J13="","Not done yet",IF(T13="±%",IF(X13="","Check correct answer",IF(ABS(X13)*100&lt;=V13+1E-9,"Pass","Fail")),IF(T13="% range",IF(X13="","Check correct answer",IF(AND(X13*100&gt;=U13-1E-9,X13*100&lt;=V13+1E-9),"Pass","Fail")),IF(T13="±abs",IF(ABS(W13)&lt;=V13+1E-9,"Pass","Fail"),"Check type"))))))))))</f>
        <v/>
      </c>
    </row>
    <row r="14">
      <c r="A14" s="15" t="inlineStr">
        <is>
          <t>S1-008</t>
        </is>
      </c>
      <c r="B14" s="15" t="inlineStr">
        <is>
          <t>A</t>
        </is>
      </c>
      <c r="C14" s="15" t="inlineStr">
        <is>
          <t>Map source</t>
        </is>
      </c>
      <c r="D14" s="15" t="inlineStr">
        <is>
          <t>Plot 8: app reading matches saved Google reply</t>
        </is>
      </c>
      <c r="E14" s="15" t="inlineStr">
        <is>
          <t>Yes/No</t>
        </is>
      </c>
      <c r="F14" s="15" t="inlineStr">
        <is>
          <t>Book</t>
        </is>
      </c>
      <c r="G14" s="15" t="inlineStr">
        <is>
          <t>Saved Google API reply file</t>
        </is>
      </c>
      <c r="H14" s="15" t="inlineStr">
        <is>
          <t>Same as correct answer</t>
        </is>
      </c>
      <c r="I14" s="16" t="n"/>
      <c r="J14" s="16" t="inlineStr">
        <is>
          <t>Yes</t>
        </is>
      </c>
      <c r="K14" s="16" t="n"/>
      <c r="L14" s="17">
        <f>IF(W14="","",W14)</f>
        <v/>
      </c>
      <c r="M14" s="18">
        <f>IF(O14&lt;&gt;"",O14,Y14)</f>
        <v/>
      </c>
      <c r="N14" s="16" t="n"/>
      <c r="O14" s="19" t="n"/>
      <c r="P14" s="19" t="n"/>
      <c r="Q14" s="19" t="n"/>
      <c r="R14" s="20" t="inlineStr">
        <is>
          <t>—</t>
        </is>
      </c>
      <c r="S14" s="20" t="inlineStr">
        <is>
          <t>n/a</t>
        </is>
      </c>
      <c r="T14" s="20" t="inlineStr">
        <is>
          <t>Exact</t>
        </is>
      </c>
      <c r="U14" s="20" t="n"/>
      <c r="V14" s="20" t="n"/>
      <c r="W14" s="20">
        <f>IF(AND(ISNUMBER(I14),ISNUMBER(J14)),I14-J14,"")</f>
        <v/>
      </c>
      <c r="X14" s="20">
        <f>IF(AND(ISNUMBER(I14),ISNUMBER(J14)),IF(J14=0,"",(I14-J14)/ABS(J14)),"")</f>
        <v/>
      </c>
      <c r="Y14" s="20">
        <f>IF(T14="Advisory","No pass mark",IF(T14="Manual","Claude will check",IF(I14="","Not done yet",IF(T14="Exact",IF(AND(ISNUMBER(I14),ISNUMBER(J14)),IF(ROUND(I14,2)=ROUND(J14,2),"Pass","Fail"),IF(TRIM(LOWER(I14&amp;""))=TRIM(LOWER(J14&amp;"")),"Pass","Fail")),IF(T14="Min",IF(I14&gt;=U14-1E-9,"Pass","Fail"),IF(T14="Between",IF(AND(I14&gt;=U14,I14&lt;=V14),"Pass","Fail"),IF(J14="","Not done yet",IF(T14="±%",IF(X14="","Check correct answer",IF(ABS(X14)*100&lt;=V14+1E-9,"Pass","Fail")),IF(T14="% range",IF(X14="","Check correct answer",IF(AND(X14*100&gt;=U14-1E-9,X14*100&lt;=V14+1E-9),"Pass","Fail")),IF(T14="±abs",IF(ABS(W14)&lt;=V14+1E-9,"Pass","Fail"),"Check type"))))))))))</f>
        <v/>
      </c>
    </row>
    <row r="15">
      <c r="A15" s="15" t="inlineStr">
        <is>
          <t>S1-009</t>
        </is>
      </c>
      <c r="B15" s="15" t="inlineStr">
        <is>
          <t>A</t>
        </is>
      </c>
      <c r="C15" s="15" t="inlineStr">
        <is>
          <t>Map source</t>
        </is>
      </c>
      <c r="D15" s="15" t="inlineStr">
        <is>
          <t>Plot 9: app reading matches saved Google reply</t>
        </is>
      </c>
      <c r="E15" s="15" t="inlineStr">
        <is>
          <t>Yes/No</t>
        </is>
      </c>
      <c r="F15" s="15" t="inlineStr">
        <is>
          <t>Book</t>
        </is>
      </c>
      <c r="G15" s="15" t="inlineStr">
        <is>
          <t>Saved Google API reply file</t>
        </is>
      </c>
      <c r="H15" s="15" t="inlineStr">
        <is>
          <t>Same as correct answer</t>
        </is>
      </c>
      <c r="I15" s="16" t="n"/>
      <c r="J15" s="16" t="inlineStr">
        <is>
          <t>Yes</t>
        </is>
      </c>
      <c r="K15" s="16" t="n"/>
      <c r="L15" s="17">
        <f>IF(W15="","",W15)</f>
        <v/>
      </c>
      <c r="M15" s="18">
        <f>IF(O15&lt;&gt;"",O15,Y15)</f>
        <v/>
      </c>
      <c r="N15" s="16" t="n"/>
      <c r="O15" s="19" t="n"/>
      <c r="P15" s="19" t="n"/>
      <c r="Q15" s="19" t="n"/>
      <c r="R15" s="20" t="inlineStr">
        <is>
          <t>—</t>
        </is>
      </c>
      <c r="S15" s="20" t="inlineStr">
        <is>
          <t>n/a</t>
        </is>
      </c>
      <c r="T15" s="20" t="inlineStr">
        <is>
          <t>Exact</t>
        </is>
      </c>
      <c r="U15" s="20" t="n"/>
      <c r="V15" s="20" t="n"/>
      <c r="W15" s="20">
        <f>IF(AND(ISNUMBER(I15),ISNUMBER(J15)),I15-J15,"")</f>
        <v/>
      </c>
      <c r="X15" s="20">
        <f>IF(AND(ISNUMBER(I15),ISNUMBER(J15)),IF(J15=0,"",(I15-J15)/ABS(J15)),"")</f>
        <v/>
      </c>
      <c r="Y15" s="20">
        <f>IF(T15="Advisory","No pass mark",IF(T15="Manual","Claude will check",IF(I15="","Not done yet",IF(T15="Exact",IF(AND(ISNUMBER(I15),ISNUMBER(J15)),IF(ROUND(I15,2)=ROUND(J15,2),"Pass","Fail"),IF(TRIM(LOWER(I15&amp;""))=TRIM(LOWER(J15&amp;"")),"Pass","Fail")),IF(T15="Min",IF(I15&gt;=U15-1E-9,"Pass","Fail"),IF(T15="Between",IF(AND(I15&gt;=U15,I15&lt;=V15),"Pass","Fail"),IF(J15="","Not done yet",IF(T15="±%",IF(X15="","Check correct answer",IF(ABS(X15)*100&lt;=V15+1E-9,"Pass","Fail")),IF(T15="% range",IF(X15="","Check correct answer",IF(AND(X15*100&gt;=U15-1E-9,X15*100&lt;=V15+1E-9),"Pass","Fail")),IF(T15="±abs",IF(ABS(W15)&lt;=V15+1E-9,"Pass","Fail"),"Check type"))))))))))</f>
        <v/>
      </c>
    </row>
    <row r="16">
      <c r="A16" s="15" t="inlineStr">
        <is>
          <t>S1-010</t>
        </is>
      </c>
      <c r="B16" s="15" t="inlineStr">
        <is>
          <t>A</t>
        </is>
      </c>
      <c r="C16" s="15" t="inlineStr">
        <is>
          <t>Map source</t>
        </is>
      </c>
      <c r="D16" s="15" t="inlineStr">
        <is>
          <t>Plot 10: app reading matches saved Google reply</t>
        </is>
      </c>
      <c r="E16" s="15" t="inlineStr">
        <is>
          <t>Yes/No</t>
        </is>
      </c>
      <c r="F16" s="15" t="inlineStr">
        <is>
          <t>Book</t>
        </is>
      </c>
      <c r="G16" s="15" t="inlineStr">
        <is>
          <t>Saved Google API reply file</t>
        </is>
      </c>
      <c r="H16" s="15" t="inlineStr">
        <is>
          <t>Same as correct answer</t>
        </is>
      </c>
      <c r="I16" s="16" t="n"/>
      <c r="J16" s="16" t="inlineStr">
        <is>
          <t>Yes</t>
        </is>
      </c>
      <c r="K16" s="16" t="n"/>
      <c r="L16" s="17">
        <f>IF(W16="","",W16)</f>
        <v/>
      </c>
      <c r="M16" s="18">
        <f>IF(O16&lt;&gt;"",O16,Y16)</f>
        <v/>
      </c>
      <c r="N16" s="16" t="n"/>
      <c r="O16" s="19" t="n"/>
      <c r="P16" s="19" t="n"/>
      <c r="Q16" s="19" t="n"/>
      <c r="R16" s="20" t="inlineStr">
        <is>
          <t>—</t>
        </is>
      </c>
      <c r="S16" s="20" t="inlineStr">
        <is>
          <t>n/a</t>
        </is>
      </c>
      <c r="T16" s="20" t="inlineStr">
        <is>
          <t>Exact</t>
        </is>
      </c>
      <c r="U16" s="20" t="n"/>
      <c r="V16" s="20" t="n"/>
      <c r="W16" s="20">
        <f>IF(AND(ISNUMBER(I16),ISNUMBER(J16)),I16-J16,"")</f>
        <v/>
      </c>
      <c r="X16" s="20">
        <f>IF(AND(ISNUMBER(I16),ISNUMBER(J16)),IF(J16=0,"",(I16-J16)/ABS(J16)),"")</f>
        <v/>
      </c>
      <c r="Y16" s="20">
        <f>IF(T16="Advisory","No pass mark",IF(T16="Manual","Claude will check",IF(I16="","Not done yet",IF(T16="Exact",IF(AND(ISNUMBER(I16),ISNUMBER(J16)),IF(ROUND(I16,2)=ROUND(J16,2),"Pass","Fail"),IF(TRIM(LOWER(I16&amp;""))=TRIM(LOWER(J16&amp;"")),"Pass","Fail")),IF(T16="Min",IF(I16&gt;=U16-1E-9,"Pass","Fail"),IF(T16="Between",IF(AND(I16&gt;=U16,I16&lt;=V16),"Pass","Fail"),IF(J16="","Not done yet",IF(T16="±%",IF(X16="","Check correct answer",IF(ABS(X16)*100&lt;=V16+1E-9,"Pass","Fail")),IF(T16="% range",IF(X16="","Check correct answer",IF(AND(X16*100&gt;=U16-1E-9,X16*100&lt;=V16+1E-9),"Pass","Fail")),IF(T16="±abs",IF(ABS(W16)&lt;=V16+1E-9,"Pass","Fail"),"Check type"))))))))))</f>
        <v/>
      </c>
    </row>
    <row r="17">
      <c r="A17" s="15" t="inlineStr">
        <is>
          <t>S1-011</t>
        </is>
      </c>
      <c r="B17" s="15" t="inlineStr">
        <is>
          <t>A</t>
        </is>
      </c>
      <c r="C17" s="15" t="inlineStr">
        <is>
          <t>Map source</t>
        </is>
      </c>
      <c r="D17" s="15" t="inlineStr">
        <is>
          <t>OpenStreetMap takes over with the API key removed</t>
        </is>
      </c>
      <c r="E17" s="15" t="inlineStr">
        <is>
          <t>Yes/No</t>
        </is>
      </c>
      <c r="F17" s="15" t="inlineStr">
        <is>
          <t>Book</t>
        </is>
      </c>
      <c r="G17" s="15" t="inlineStr">
        <is>
          <t>App run without key</t>
        </is>
      </c>
      <c r="H17" s="15" t="inlineStr">
        <is>
          <t>Same as correct answer</t>
        </is>
      </c>
      <c r="I17" s="16" t="n"/>
      <c r="J17" s="16" t="inlineStr">
        <is>
          <t>Yes</t>
        </is>
      </c>
      <c r="K17" s="16" t="n"/>
      <c r="L17" s="17">
        <f>IF(W17="","",W17)</f>
        <v/>
      </c>
      <c r="M17" s="18">
        <f>IF(O17&lt;&gt;"",O17,Y17)</f>
        <v/>
      </c>
      <c r="N17" s="16" t="n"/>
      <c r="O17" s="19" t="n"/>
      <c r="P17" s="19" t="n"/>
      <c r="Q17" s="19" t="n"/>
      <c r="R17" s="20" t="inlineStr">
        <is>
          <t>—</t>
        </is>
      </c>
      <c r="S17" s="20" t="inlineStr">
        <is>
          <t>n/a</t>
        </is>
      </c>
      <c r="T17" s="20" t="inlineStr">
        <is>
          <t>Exact</t>
        </is>
      </c>
      <c r="U17" s="20" t="n"/>
      <c r="V17" s="20" t="n"/>
      <c r="W17" s="20">
        <f>IF(AND(ISNUMBER(I17),ISNUMBER(J17)),I17-J17,"")</f>
        <v/>
      </c>
      <c r="X17" s="20">
        <f>IF(AND(ISNUMBER(I17),ISNUMBER(J17)),IF(J17=0,"",(I17-J17)/ABS(J17)),"")</f>
        <v/>
      </c>
      <c r="Y17" s="20">
        <f>IF(T17="Advisory","No pass mark",IF(T17="Manual","Claude will check",IF(I17="","Not done yet",IF(T17="Exact",IF(AND(ISNUMBER(I17),ISNUMBER(J17)),IF(ROUND(I17,2)=ROUND(J17,2),"Pass","Fail"),IF(TRIM(LOWER(I17&amp;""))=TRIM(LOWER(J17&amp;"")),"Pass","Fail")),IF(T17="Min",IF(I17&gt;=U17-1E-9,"Pass","Fail"),IF(T17="Between",IF(AND(I17&gt;=U17,I17&lt;=V17),"Pass","Fail"),IF(J17="","Not done yet",IF(T17="±%",IF(X17="","Check correct answer",IF(ABS(X17)*100&lt;=V17+1E-9,"Pass","Fail")),IF(T17="% range",IF(X17="","Check correct answer",IF(AND(X17*100&gt;=U17-1E-9,X17*100&lt;=V17+1E-9),"Pass","Fail")),IF(T17="±abs",IF(ABS(W17)&lt;=V17+1E-9,"Pass","Fail"),"Check type"))))))))))</f>
        <v/>
      </c>
    </row>
    <row r="18">
      <c r="A18" s="15" t="inlineStr">
        <is>
          <t>S1-012</t>
        </is>
      </c>
      <c r="B18" s="15" t="inlineStr">
        <is>
          <t>A</t>
        </is>
      </c>
      <c r="C18" s="15" t="inlineStr">
        <is>
          <t>Map source</t>
        </is>
      </c>
      <c r="D18" s="15" t="inlineStr">
        <is>
          <t>Plot 1: 14 Phase I metrics re-run
→ Enter metrics passed out of 14; list failed metrics here</t>
        </is>
      </c>
      <c r="E18" s="15" t="inlineStr">
        <is>
          <t>metrics passed</t>
        </is>
      </c>
      <c r="F18" s="15" t="inlineStr">
        <is>
          <t>Real</t>
        </is>
      </c>
      <c r="G18" s="15" t="inlineStr">
        <is>
          <t>Phase I references</t>
        </is>
      </c>
      <c r="H18" s="15" t="inlineStr">
        <is>
          <t>Same pass marks as Phase I</t>
        </is>
      </c>
      <c r="I18" s="16" t="n"/>
      <c r="J18" s="16" t="n"/>
      <c r="K18" s="16" t="n"/>
      <c r="L18" s="17" t="n"/>
      <c r="M18" s="18">
        <f>IF(O18&lt;&gt;"",O18,Y18)</f>
        <v/>
      </c>
      <c r="N18" s="16" t="n"/>
      <c r="O18" s="19" t="n"/>
      <c r="P18" s="19" t="n"/>
      <c r="Q18" s="19" t="n"/>
      <c r="R18" s="20" t="inlineStr">
        <is>
          <t>Phase I</t>
        </is>
      </c>
      <c r="S18" s="20" t="inlineStr">
        <is>
          <t>n/a</t>
        </is>
      </c>
      <c r="T18" s="20" t="inlineStr">
        <is>
          <t>Manual</t>
        </is>
      </c>
      <c r="U18" s="20" t="n"/>
      <c r="V18" s="20" t="n"/>
      <c r="W18" s="20">
        <f>IF(AND(ISNUMBER(I18),ISNUMBER(J18)),I18-J18,"")</f>
        <v/>
      </c>
      <c r="X18" s="20">
        <f>IF(AND(ISNUMBER(I18),ISNUMBER(J18)),IF(J18=0,"",(I18-J18)/ABS(J18)),"")</f>
        <v/>
      </c>
      <c r="Y18" s="20">
        <f>IF(T18="Advisory","No pass mark",IF(T18="Manual","Claude will check",IF(I18="","Not done yet",IF(T18="Exact",IF(AND(ISNUMBER(I18),ISNUMBER(J18)),IF(ROUND(I18,2)=ROUND(J18,2),"Pass","Fail"),IF(TRIM(LOWER(I18&amp;""))=TRIM(LOWER(J18&amp;"")),"Pass","Fail")),IF(T18="Min",IF(I18&gt;=U18-1E-9,"Pass","Fail"),IF(T18="Between",IF(AND(I18&gt;=U18,I18&lt;=V18),"Pass","Fail"),IF(J18="","Not done yet",IF(T18="±%",IF(X18="","Check correct answer",IF(ABS(X18)*100&lt;=V18+1E-9,"Pass","Fail")),IF(T18="% range",IF(X18="","Check correct answer",IF(AND(X18*100&gt;=U18-1E-9,X18*100&lt;=V18+1E-9),"Pass","Fail")),IF(T18="±abs",IF(ABS(W18)&lt;=V18+1E-9,"Pass","Fail"),"Check type"))))))))))</f>
        <v/>
      </c>
    </row>
    <row r="19">
      <c r="A19" s="15" t="inlineStr">
        <is>
          <t>S1-013</t>
        </is>
      </c>
      <c r="B19" s="15" t="inlineStr">
        <is>
          <t>A</t>
        </is>
      </c>
      <c r="C19" s="15" t="inlineStr">
        <is>
          <t>Map source</t>
        </is>
      </c>
      <c r="D19" s="15" t="inlineStr">
        <is>
          <t>Plot 2: 14 Phase I metrics re-run
→ Enter metrics passed out of 14; list failed metrics here</t>
        </is>
      </c>
      <c r="E19" s="15" t="inlineStr">
        <is>
          <t>metrics passed</t>
        </is>
      </c>
      <c r="F19" s="15" t="inlineStr">
        <is>
          <t>Real</t>
        </is>
      </c>
      <c r="G19" s="15" t="inlineStr">
        <is>
          <t>Phase I references</t>
        </is>
      </c>
      <c r="H19" s="15" t="inlineStr">
        <is>
          <t>Same pass marks as Phase I</t>
        </is>
      </c>
      <c r="I19" s="16" t="n"/>
      <c r="J19" s="16" t="n"/>
      <c r="K19" s="16" t="n"/>
      <c r="L19" s="17" t="n"/>
      <c r="M19" s="18">
        <f>IF(O19&lt;&gt;"",O19,Y19)</f>
        <v/>
      </c>
      <c r="N19" s="16" t="n"/>
      <c r="O19" s="19" t="n"/>
      <c r="P19" s="19" t="n"/>
      <c r="Q19" s="19" t="n"/>
      <c r="R19" s="20" t="inlineStr">
        <is>
          <t>Phase I</t>
        </is>
      </c>
      <c r="S19" s="20" t="inlineStr">
        <is>
          <t>n/a</t>
        </is>
      </c>
      <c r="T19" s="20" t="inlineStr">
        <is>
          <t>Manual</t>
        </is>
      </c>
      <c r="U19" s="20" t="n"/>
      <c r="V19" s="20" t="n"/>
      <c r="W19" s="20">
        <f>IF(AND(ISNUMBER(I19),ISNUMBER(J19)),I19-J19,"")</f>
        <v/>
      </c>
      <c r="X19" s="20">
        <f>IF(AND(ISNUMBER(I19),ISNUMBER(J19)),IF(J19=0,"",(I19-J19)/ABS(J19)),"")</f>
        <v/>
      </c>
      <c r="Y19" s="20">
        <f>IF(T19="Advisory","No pass mark",IF(T19="Manual","Claude will check",IF(I19="","Not done yet",IF(T19="Exact",IF(AND(ISNUMBER(I19),ISNUMBER(J19)),IF(ROUND(I19,2)=ROUND(J19,2),"Pass","Fail"),IF(TRIM(LOWER(I19&amp;""))=TRIM(LOWER(J19&amp;"")),"Pass","Fail")),IF(T19="Min",IF(I19&gt;=U19-1E-9,"Pass","Fail"),IF(T19="Between",IF(AND(I19&gt;=U19,I19&lt;=V19),"Pass","Fail"),IF(J19="","Not done yet",IF(T19="±%",IF(X19="","Check correct answer",IF(ABS(X19)*100&lt;=V19+1E-9,"Pass","Fail")),IF(T19="% range",IF(X19="","Check correct answer",IF(AND(X19*100&gt;=U19-1E-9,X19*100&lt;=V19+1E-9),"Pass","Fail")),IF(T19="±abs",IF(ABS(W19)&lt;=V19+1E-9,"Pass","Fail"),"Check type"))))))))))</f>
        <v/>
      </c>
    </row>
    <row r="20">
      <c r="A20" s="15" t="inlineStr">
        <is>
          <t>S1-014</t>
        </is>
      </c>
      <c r="B20" s="15" t="inlineStr">
        <is>
          <t>A</t>
        </is>
      </c>
      <c r="C20" s="15" t="inlineStr">
        <is>
          <t>Map source</t>
        </is>
      </c>
      <c r="D20" s="15" t="inlineStr">
        <is>
          <t>Plot 3: 14 Phase I metrics re-run
→ Enter metrics passed out of 14; list failed metrics here</t>
        </is>
      </c>
      <c r="E20" s="15" t="inlineStr">
        <is>
          <t>metrics passed</t>
        </is>
      </c>
      <c r="F20" s="15" t="inlineStr">
        <is>
          <t>Real</t>
        </is>
      </c>
      <c r="G20" s="15" t="inlineStr">
        <is>
          <t>Phase I references</t>
        </is>
      </c>
      <c r="H20" s="15" t="inlineStr">
        <is>
          <t>Same pass marks as Phase I</t>
        </is>
      </c>
      <c r="I20" s="16" t="n"/>
      <c r="J20" s="16" t="n"/>
      <c r="K20" s="16" t="n"/>
      <c r="L20" s="17" t="n"/>
      <c r="M20" s="18">
        <f>IF(O20&lt;&gt;"",O20,Y20)</f>
        <v/>
      </c>
      <c r="N20" s="16" t="n"/>
      <c r="O20" s="19" t="n"/>
      <c r="P20" s="19" t="n"/>
      <c r="Q20" s="19" t="n"/>
      <c r="R20" s="20" t="inlineStr">
        <is>
          <t>Phase I</t>
        </is>
      </c>
      <c r="S20" s="20" t="inlineStr">
        <is>
          <t>n/a</t>
        </is>
      </c>
      <c r="T20" s="20" t="inlineStr">
        <is>
          <t>Manual</t>
        </is>
      </c>
      <c r="U20" s="20" t="n"/>
      <c r="V20" s="20" t="n"/>
      <c r="W20" s="20">
        <f>IF(AND(ISNUMBER(I20),ISNUMBER(J20)),I20-J20,"")</f>
        <v/>
      </c>
      <c r="X20" s="20">
        <f>IF(AND(ISNUMBER(I20),ISNUMBER(J20)),IF(J20=0,"",(I20-J20)/ABS(J20)),"")</f>
        <v/>
      </c>
      <c r="Y20" s="20">
        <f>IF(T20="Advisory","No pass mark",IF(T20="Manual","Claude will check",IF(I20="","Not done yet",IF(T20="Exact",IF(AND(ISNUMBER(I20),ISNUMBER(J20)),IF(ROUND(I20,2)=ROUND(J20,2),"Pass","Fail"),IF(TRIM(LOWER(I20&amp;""))=TRIM(LOWER(J20&amp;"")),"Pass","Fail")),IF(T20="Min",IF(I20&gt;=U20-1E-9,"Pass","Fail"),IF(T20="Between",IF(AND(I20&gt;=U20,I20&lt;=V20),"Pass","Fail"),IF(J20="","Not done yet",IF(T20="±%",IF(X20="","Check correct answer",IF(ABS(X20)*100&lt;=V20+1E-9,"Pass","Fail")),IF(T20="% range",IF(X20="","Check correct answer",IF(AND(X20*100&gt;=U20-1E-9,X20*100&lt;=V20+1E-9),"Pass","Fail")),IF(T20="±abs",IF(ABS(W20)&lt;=V20+1E-9,"Pass","Fail"),"Check type"))))))))))</f>
        <v/>
      </c>
    </row>
    <row r="21">
      <c r="A21" s="15" t="inlineStr">
        <is>
          <t>S1-015</t>
        </is>
      </c>
      <c r="B21" s="15" t="inlineStr">
        <is>
          <t>A</t>
        </is>
      </c>
      <c r="C21" s="15" t="inlineStr">
        <is>
          <t>Map source</t>
        </is>
      </c>
      <c r="D21" s="15" t="inlineStr">
        <is>
          <t>Plot 4: 14 Phase I metrics re-run
→ Enter metrics passed out of 14; list failed metrics here</t>
        </is>
      </c>
      <c r="E21" s="15" t="inlineStr">
        <is>
          <t>metrics passed</t>
        </is>
      </c>
      <c r="F21" s="15" t="inlineStr">
        <is>
          <t>Real</t>
        </is>
      </c>
      <c r="G21" s="15" t="inlineStr">
        <is>
          <t>Phase I references</t>
        </is>
      </c>
      <c r="H21" s="15" t="inlineStr">
        <is>
          <t>Same pass marks as Phase I</t>
        </is>
      </c>
      <c r="I21" s="16" t="n"/>
      <c r="J21" s="16" t="n"/>
      <c r="K21" s="16" t="n"/>
      <c r="L21" s="17" t="n"/>
      <c r="M21" s="18">
        <f>IF(O21&lt;&gt;"",O21,Y21)</f>
        <v/>
      </c>
      <c r="N21" s="16" t="n"/>
      <c r="O21" s="19" t="n"/>
      <c r="P21" s="19" t="n"/>
      <c r="Q21" s="19" t="n"/>
      <c r="R21" s="20" t="inlineStr">
        <is>
          <t>Phase I</t>
        </is>
      </c>
      <c r="S21" s="20" t="inlineStr">
        <is>
          <t>n/a</t>
        </is>
      </c>
      <c r="T21" s="20" t="inlineStr">
        <is>
          <t>Manual</t>
        </is>
      </c>
      <c r="U21" s="20" t="n"/>
      <c r="V21" s="20" t="n"/>
      <c r="W21" s="20">
        <f>IF(AND(ISNUMBER(I21),ISNUMBER(J21)),I21-J21,"")</f>
        <v/>
      </c>
      <c r="X21" s="20">
        <f>IF(AND(ISNUMBER(I21),ISNUMBER(J21)),IF(J21=0,"",(I21-J21)/ABS(J21)),"")</f>
        <v/>
      </c>
      <c r="Y21" s="20">
        <f>IF(T21="Advisory","No pass mark",IF(T21="Manual","Claude will check",IF(I21="","Not done yet",IF(T21="Exact",IF(AND(ISNUMBER(I21),ISNUMBER(J21)),IF(ROUND(I21,2)=ROUND(J21,2),"Pass","Fail"),IF(TRIM(LOWER(I21&amp;""))=TRIM(LOWER(J21&amp;"")),"Pass","Fail")),IF(T21="Min",IF(I21&gt;=U21-1E-9,"Pass","Fail"),IF(T21="Between",IF(AND(I21&gt;=U21,I21&lt;=V21),"Pass","Fail"),IF(J21="","Not done yet",IF(T21="±%",IF(X21="","Check correct answer",IF(ABS(X21)*100&lt;=V21+1E-9,"Pass","Fail")),IF(T21="% range",IF(X21="","Check correct answer",IF(AND(X21*100&gt;=U21-1E-9,X21*100&lt;=V21+1E-9),"Pass","Fail")),IF(T21="±abs",IF(ABS(W21)&lt;=V21+1E-9,"Pass","Fail"),"Check type"))))))))))</f>
        <v/>
      </c>
    </row>
    <row r="22">
      <c r="A22" s="15" t="inlineStr">
        <is>
          <t>S1-016</t>
        </is>
      </c>
      <c r="B22" s="15" t="inlineStr">
        <is>
          <t>A</t>
        </is>
      </c>
      <c r="C22" s="15" t="inlineStr">
        <is>
          <t>Map source</t>
        </is>
      </c>
      <c r="D22" s="15" t="inlineStr">
        <is>
          <t>Plot 5: 14 Phase I metrics re-run
→ Enter metrics passed out of 14; list failed metrics here</t>
        </is>
      </c>
      <c r="E22" s="15" t="inlineStr">
        <is>
          <t>metrics passed</t>
        </is>
      </c>
      <c r="F22" s="15" t="inlineStr">
        <is>
          <t>Real</t>
        </is>
      </c>
      <c r="G22" s="15" t="inlineStr">
        <is>
          <t>Phase I references</t>
        </is>
      </c>
      <c r="H22" s="15" t="inlineStr">
        <is>
          <t>Same pass marks as Phase I</t>
        </is>
      </c>
      <c r="I22" s="16" t="n"/>
      <c r="J22" s="16" t="n"/>
      <c r="K22" s="16" t="n"/>
      <c r="L22" s="17" t="n"/>
      <c r="M22" s="18">
        <f>IF(O22&lt;&gt;"",O22,Y22)</f>
        <v/>
      </c>
      <c r="N22" s="16" t="n"/>
      <c r="O22" s="19" t="n"/>
      <c r="P22" s="19" t="n"/>
      <c r="Q22" s="19" t="n"/>
      <c r="R22" s="20" t="inlineStr">
        <is>
          <t>Phase I</t>
        </is>
      </c>
      <c r="S22" s="20" t="inlineStr">
        <is>
          <t>n/a</t>
        </is>
      </c>
      <c r="T22" s="20" t="inlineStr">
        <is>
          <t>Manual</t>
        </is>
      </c>
      <c r="U22" s="20" t="n"/>
      <c r="V22" s="20" t="n"/>
      <c r="W22" s="20">
        <f>IF(AND(ISNUMBER(I22),ISNUMBER(J22)),I22-J22,"")</f>
        <v/>
      </c>
      <c r="X22" s="20">
        <f>IF(AND(ISNUMBER(I22),ISNUMBER(J22)),IF(J22=0,"",(I22-J22)/ABS(J22)),"")</f>
        <v/>
      </c>
      <c r="Y22" s="20">
        <f>IF(T22="Advisory","No pass mark",IF(T22="Manual","Claude will check",IF(I22="","Not done yet",IF(T22="Exact",IF(AND(ISNUMBER(I22),ISNUMBER(J22)),IF(ROUND(I22,2)=ROUND(J22,2),"Pass","Fail"),IF(TRIM(LOWER(I22&amp;""))=TRIM(LOWER(J22&amp;"")),"Pass","Fail")),IF(T22="Min",IF(I22&gt;=U22-1E-9,"Pass","Fail"),IF(T22="Between",IF(AND(I22&gt;=U22,I22&lt;=V22),"Pass","Fail"),IF(J22="","Not done yet",IF(T22="±%",IF(X22="","Check correct answer",IF(ABS(X22)*100&lt;=V22+1E-9,"Pass","Fail")),IF(T22="% range",IF(X22="","Check correct answer",IF(AND(X22*100&gt;=U22-1E-9,X22*100&lt;=V22+1E-9),"Pass","Fail")),IF(T22="±abs",IF(ABS(W22)&lt;=V22+1E-9,"Pass","Fail"),"Check type"))))))))))</f>
        <v/>
      </c>
    </row>
    <row r="23">
      <c r="A23" s="15" t="inlineStr">
        <is>
          <t>S1-017</t>
        </is>
      </c>
      <c r="B23" s="15" t="inlineStr">
        <is>
          <t>A</t>
        </is>
      </c>
      <c r="C23" s="15" t="inlineStr">
        <is>
          <t>Map source</t>
        </is>
      </c>
      <c r="D23" s="15" t="inlineStr">
        <is>
          <t>Plot 6: 14 Phase I metrics re-run
→ Enter metrics passed out of 14; list failed metrics here</t>
        </is>
      </c>
      <c r="E23" s="15" t="inlineStr">
        <is>
          <t>metrics passed</t>
        </is>
      </c>
      <c r="F23" s="15" t="inlineStr">
        <is>
          <t>Real</t>
        </is>
      </c>
      <c r="G23" s="15" t="inlineStr">
        <is>
          <t>Phase I references</t>
        </is>
      </c>
      <c r="H23" s="15" t="inlineStr">
        <is>
          <t>Same pass marks as Phase I</t>
        </is>
      </c>
      <c r="I23" s="16" t="n"/>
      <c r="J23" s="16" t="n"/>
      <c r="K23" s="16" t="n"/>
      <c r="L23" s="17" t="n"/>
      <c r="M23" s="18">
        <f>IF(O23&lt;&gt;"",O23,Y23)</f>
        <v/>
      </c>
      <c r="N23" s="16" t="n"/>
      <c r="O23" s="19" t="n"/>
      <c r="P23" s="19" t="n"/>
      <c r="Q23" s="19" t="n"/>
      <c r="R23" s="20" t="inlineStr">
        <is>
          <t>Phase I</t>
        </is>
      </c>
      <c r="S23" s="20" t="inlineStr">
        <is>
          <t>n/a</t>
        </is>
      </c>
      <c r="T23" s="20" t="inlineStr">
        <is>
          <t>Manual</t>
        </is>
      </c>
      <c r="U23" s="20" t="n"/>
      <c r="V23" s="20" t="n"/>
      <c r="W23" s="20">
        <f>IF(AND(ISNUMBER(I23),ISNUMBER(J23)),I23-J23,"")</f>
        <v/>
      </c>
      <c r="X23" s="20">
        <f>IF(AND(ISNUMBER(I23),ISNUMBER(J23)),IF(J23=0,"",(I23-J23)/ABS(J23)),"")</f>
        <v/>
      </c>
      <c r="Y23" s="20">
        <f>IF(T23="Advisory","No pass mark",IF(T23="Manual","Claude will check",IF(I23="","Not done yet",IF(T23="Exact",IF(AND(ISNUMBER(I23),ISNUMBER(J23)),IF(ROUND(I23,2)=ROUND(J23,2),"Pass","Fail"),IF(TRIM(LOWER(I23&amp;""))=TRIM(LOWER(J23&amp;"")),"Pass","Fail")),IF(T23="Min",IF(I23&gt;=U23-1E-9,"Pass","Fail"),IF(T23="Between",IF(AND(I23&gt;=U23,I23&lt;=V23),"Pass","Fail"),IF(J23="","Not done yet",IF(T23="±%",IF(X23="","Check correct answer",IF(ABS(X23)*100&lt;=V23+1E-9,"Pass","Fail")),IF(T23="% range",IF(X23="","Check correct answer",IF(AND(X23*100&gt;=U23-1E-9,X23*100&lt;=V23+1E-9),"Pass","Fail")),IF(T23="±abs",IF(ABS(W23)&lt;=V23+1E-9,"Pass","Fail"),"Check type"))))))))))</f>
        <v/>
      </c>
    </row>
    <row r="24">
      <c r="A24" s="15" t="inlineStr">
        <is>
          <t>S1-018</t>
        </is>
      </c>
      <c r="B24" s="15" t="inlineStr">
        <is>
          <t>A</t>
        </is>
      </c>
      <c r="C24" s="15" t="inlineStr">
        <is>
          <t>Map source</t>
        </is>
      </c>
      <c r="D24" s="15" t="inlineStr">
        <is>
          <t>Plot 7: 14 Phase I metrics re-run
→ Enter metrics passed out of 14; list failed metrics here</t>
        </is>
      </c>
      <c r="E24" s="15" t="inlineStr">
        <is>
          <t>metrics passed</t>
        </is>
      </c>
      <c r="F24" s="15" t="inlineStr">
        <is>
          <t>Real</t>
        </is>
      </c>
      <c r="G24" s="15" t="inlineStr">
        <is>
          <t>Phase I references</t>
        </is>
      </c>
      <c r="H24" s="15" t="inlineStr">
        <is>
          <t>Same pass marks as Phase I</t>
        </is>
      </c>
      <c r="I24" s="16" t="n"/>
      <c r="J24" s="16" t="n"/>
      <c r="K24" s="16" t="n"/>
      <c r="L24" s="17" t="n"/>
      <c r="M24" s="18">
        <f>IF(O24&lt;&gt;"",O24,Y24)</f>
        <v/>
      </c>
      <c r="N24" s="16" t="n"/>
      <c r="O24" s="19" t="n"/>
      <c r="P24" s="19" t="n"/>
      <c r="Q24" s="19" t="n"/>
      <c r="R24" s="20" t="inlineStr">
        <is>
          <t>Phase I</t>
        </is>
      </c>
      <c r="S24" s="20" t="inlineStr">
        <is>
          <t>n/a</t>
        </is>
      </c>
      <c r="T24" s="20" t="inlineStr">
        <is>
          <t>Manual</t>
        </is>
      </c>
      <c r="U24" s="20" t="n"/>
      <c r="V24" s="20" t="n"/>
      <c r="W24" s="20">
        <f>IF(AND(ISNUMBER(I24),ISNUMBER(J24)),I24-J24,"")</f>
        <v/>
      </c>
      <c r="X24" s="20">
        <f>IF(AND(ISNUMBER(I24),ISNUMBER(J24)),IF(J24=0,"",(I24-J24)/ABS(J24)),"")</f>
        <v/>
      </c>
      <c r="Y24" s="20">
        <f>IF(T24="Advisory","No pass mark",IF(T24="Manual","Claude will check",IF(I24="","Not done yet",IF(T24="Exact",IF(AND(ISNUMBER(I24),ISNUMBER(J24)),IF(ROUND(I24,2)=ROUND(J24,2),"Pass","Fail"),IF(TRIM(LOWER(I24&amp;""))=TRIM(LOWER(J24&amp;"")),"Pass","Fail")),IF(T24="Min",IF(I24&gt;=U24-1E-9,"Pass","Fail"),IF(T24="Between",IF(AND(I24&gt;=U24,I24&lt;=V24),"Pass","Fail"),IF(J24="","Not done yet",IF(T24="±%",IF(X24="","Check correct answer",IF(ABS(X24)*100&lt;=V24+1E-9,"Pass","Fail")),IF(T24="% range",IF(X24="","Check correct answer",IF(AND(X24*100&gt;=U24-1E-9,X24*100&lt;=V24+1E-9),"Pass","Fail")),IF(T24="±abs",IF(ABS(W24)&lt;=V24+1E-9,"Pass","Fail"),"Check type"))))))))))</f>
        <v/>
      </c>
    </row>
    <row r="25">
      <c r="A25" s="15" t="inlineStr">
        <is>
          <t>S1-019</t>
        </is>
      </c>
      <c r="B25" s="15" t="inlineStr">
        <is>
          <t>A</t>
        </is>
      </c>
      <c r="C25" s="15" t="inlineStr">
        <is>
          <t>Map source</t>
        </is>
      </c>
      <c r="D25" s="15" t="inlineStr">
        <is>
          <t>Plot 8: 14 Phase I metrics re-run
→ Enter metrics passed out of 14; list failed metrics here</t>
        </is>
      </c>
      <c r="E25" s="15" t="inlineStr">
        <is>
          <t>metrics passed</t>
        </is>
      </c>
      <c r="F25" s="15" t="inlineStr">
        <is>
          <t>Real</t>
        </is>
      </c>
      <c r="G25" s="15" t="inlineStr">
        <is>
          <t>Phase I references</t>
        </is>
      </c>
      <c r="H25" s="15" t="inlineStr">
        <is>
          <t>Same pass marks as Phase I</t>
        </is>
      </c>
      <c r="I25" s="16" t="n"/>
      <c r="J25" s="16" t="n"/>
      <c r="K25" s="16" t="n"/>
      <c r="L25" s="17" t="n"/>
      <c r="M25" s="18">
        <f>IF(O25&lt;&gt;"",O25,Y25)</f>
        <v/>
      </c>
      <c r="N25" s="16" t="n"/>
      <c r="O25" s="19" t="n"/>
      <c r="P25" s="19" t="n"/>
      <c r="Q25" s="19" t="n"/>
      <c r="R25" s="20" t="inlineStr">
        <is>
          <t>Phase I</t>
        </is>
      </c>
      <c r="S25" s="20" t="inlineStr">
        <is>
          <t>n/a</t>
        </is>
      </c>
      <c r="T25" s="20" t="inlineStr">
        <is>
          <t>Manual</t>
        </is>
      </c>
      <c r="U25" s="20" t="n"/>
      <c r="V25" s="20" t="n"/>
      <c r="W25" s="20">
        <f>IF(AND(ISNUMBER(I25),ISNUMBER(J25)),I25-J25,"")</f>
        <v/>
      </c>
      <c r="X25" s="20">
        <f>IF(AND(ISNUMBER(I25),ISNUMBER(J25)),IF(J25=0,"",(I25-J25)/ABS(J25)),"")</f>
        <v/>
      </c>
      <c r="Y25" s="20">
        <f>IF(T25="Advisory","No pass mark",IF(T25="Manual","Claude will check",IF(I25="","Not done yet",IF(T25="Exact",IF(AND(ISNUMBER(I25),ISNUMBER(J25)),IF(ROUND(I25,2)=ROUND(J25,2),"Pass","Fail"),IF(TRIM(LOWER(I25&amp;""))=TRIM(LOWER(J25&amp;"")),"Pass","Fail")),IF(T25="Min",IF(I25&gt;=U25-1E-9,"Pass","Fail"),IF(T25="Between",IF(AND(I25&gt;=U25,I25&lt;=V25),"Pass","Fail"),IF(J25="","Not done yet",IF(T25="±%",IF(X25="","Check correct answer",IF(ABS(X25)*100&lt;=V25+1E-9,"Pass","Fail")),IF(T25="% range",IF(X25="","Check correct answer",IF(AND(X25*100&gt;=U25-1E-9,X25*100&lt;=V25+1E-9),"Pass","Fail")),IF(T25="±abs",IF(ABS(W25)&lt;=V25+1E-9,"Pass","Fail"),"Check type"))))))))))</f>
        <v/>
      </c>
    </row>
    <row r="26">
      <c r="A26" s="15" t="inlineStr">
        <is>
          <t>S1-020</t>
        </is>
      </c>
      <c r="B26" s="15" t="inlineStr">
        <is>
          <t>A</t>
        </is>
      </c>
      <c r="C26" s="15" t="inlineStr">
        <is>
          <t>Map source</t>
        </is>
      </c>
      <c r="D26" s="15" t="inlineStr">
        <is>
          <t>Plot 9: 14 Phase I metrics re-run
→ Enter metrics passed out of 14; list failed metrics here</t>
        </is>
      </c>
      <c r="E26" s="15" t="inlineStr">
        <is>
          <t>metrics passed</t>
        </is>
      </c>
      <c r="F26" s="15" t="inlineStr">
        <is>
          <t>Real</t>
        </is>
      </c>
      <c r="G26" s="15" t="inlineStr">
        <is>
          <t>Phase I references</t>
        </is>
      </c>
      <c r="H26" s="15" t="inlineStr">
        <is>
          <t>Same pass marks as Phase I</t>
        </is>
      </c>
      <c r="I26" s="16" t="n"/>
      <c r="J26" s="16" t="n"/>
      <c r="K26" s="16" t="n"/>
      <c r="L26" s="17" t="n"/>
      <c r="M26" s="18">
        <f>IF(O26&lt;&gt;"",O26,Y26)</f>
        <v/>
      </c>
      <c r="N26" s="16" t="n"/>
      <c r="O26" s="19" t="n"/>
      <c r="P26" s="19" t="n"/>
      <c r="Q26" s="19" t="n"/>
      <c r="R26" s="20" t="inlineStr">
        <is>
          <t>Phase I</t>
        </is>
      </c>
      <c r="S26" s="20" t="inlineStr">
        <is>
          <t>n/a</t>
        </is>
      </c>
      <c r="T26" s="20" t="inlineStr">
        <is>
          <t>Manual</t>
        </is>
      </c>
      <c r="U26" s="20" t="n"/>
      <c r="V26" s="20" t="n"/>
      <c r="W26" s="20">
        <f>IF(AND(ISNUMBER(I26),ISNUMBER(J26)),I26-J26,"")</f>
        <v/>
      </c>
      <c r="X26" s="20">
        <f>IF(AND(ISNUMBER(I26),ISNUMBER(J26)),IF(J26=0,"",(I26-J26)/ABS(J26)),"")</f>
        <v/>
      </c>
      <c r="Y26" s="20">
        <f>IF(T26="Advisory","No pass mark",IF(T26="Manual","Claude will check",IF(I26="","Not done yet",IF(T26="Exact",IF(AND(ISNUMBER(I26),ISNUMBER(J26)),IF(ROUND(I26,2)=ROUND(J26,2),"Pass","Fail"),IF(TRIM(LOWER(I26&amp;""))=TRIM(LOWER(J26&amp;"")),"Pass","Fail")),IF(T26="Min",IF(I26&gt;=U26-1E-9,"Pass","Fail"),IF(T26="Between",IF(AND(I26&gt;=U26,I26&lt;=V26),"Pass","Fail"),IF(J26="","Not done yet",IF(T26="±%",IF(X26="","Check correct answer",IF(ABS(X26)*100&lt;=V26+1E-9,"Pass","Fail")),IF(T26="% range",IF(X26="","Check correct answer",IF(AND(X26*100&gt;=U26-1E-9,X26*100&lt;=V26+1E-9),"Pass","Fail")),IF(T26="±abs",IF(ABS(W26)&lt;=V26+1E-9,"Pass","Fail"),"Check type"))))))))))</f>
        <v/>
      </c>
    </row>
    <row r="27">
      <c r="A27" s="15" t="inlineStr">
        <is>
          <t>S1-021</t>
        </is>
      </c>
      <c r="B27" s="15" t="inlineStr">
        <is>
          <t>A</t>
        </is>
      </c>
      <c r="C27" s="15" t="inlineStr">
        <is>
          <t>Map source</t>
        </is>
      </c>
      <c r="D27" s="15" t="inlineStr">
        <is>
          <t>Plot 10: 14 Phase I metrics re-run
→ Enter metrics passed out of 14; list failed metrics here</t>
        </is>
      </c>
      <c r="E27" s="15" t="inlineStr">
        <is>
          <t>metrics passed</t>
        </is>
      </c>
      <c r="F27" s="15" t="inlineStr">
        <is>
          <t>Real</t>
        </is>
      </c>
      <c r="G27" s="15" t="inlineStr">
        <is>
          <t>Phase I references</t>
        </is>
      </c>
      <c r="H27" s="15" t="inlineStr">
        <is>
          <t>Same pass marks as Phase I</t>
        </is>
      </c>
      <c r="I27" s="16" t="n"/>
      <c r="J27" s="16" t="n"/>
      <c r="K27" s="16" t="n"/>
      <c r="L27" s="17" t="n"/>
      <c r="M27" s="18">
        <f>IF(O27&lt;&gt;"",O27,Y27)</f>
        <v/>
      </c>
      <c r="N27" s="16" t="n"/>
      <c r="O27" s="19" t="n"/>
      <c r="P27" s="19" t="n"/>
      <c r="Q27" s="19" t="n"/>
      <c r="R27" s="20" t="inlineStr">
        <is>
          <t>Phase I</t>
        </is>
      </c>
      <c r="S27" s="20" t="inlineStr">
        <is>
          <t>n/a</t>
        </is>
      </c>
      <c r="T27" s="20" t="inlineStr">
        <is>
          <t>Manual</t>
        </is>
      </c>
      <c r="U27" s="20" t="n"/>
      <c r="V27" s="20" t="n"/>
      <c r="W27" s="20">
        <f>IF(AND(ISNUMBER(I27),ISNUMBER(J27)),I27-J27,"")</f>
        <v/>
      </c>
      <c r="X27" s="20">
        <f>IF(AND(ISNUMBER(I27),ISNUMBER(J27)),IF(J27=0,"",(I27-J27)/ABS(J27)),"")</f>
        <v/>
      </c>
      <c r="Y27" s="20">
        <f>IF(T27="Advisory","No pass mark",IF(T27="Manual","Claude will check",IF(I27="","Not done yet",IF(T27="Exact",IF(AND(ISNUMBER(I27),ISNUMBER(J27)),IF(ROUND(I27,2)=ROUND(J27,2),"Pass","Fail"),IF(TRIM(LOWER(I27&amp;""))=TRIM(LOWER(J27&amp;"")),"Pass","Fail")),IF(T27="Min",IF(I27&gt;=U27-1E-9,"Pass","Fail"),IF(T27="Between",IF(AND(I27&gt;=U27,I27&lt;=V27),"Pass","Fail"),IF(J27="","Not done yet",IF(T27="±%",IF(X27="","Check correct answer",IF(ABS(X27)*100&lt;=V27+1E-9,"Pass","Fail")),IF(T27="% range",IF(X27="","Check correct answer",IF(AND(X27*100&gt;=U27-1E-9,X27*100&lt;=V27+1E-9),"Pass","Fail")),IF(T27="±abs",IF(ABS(W27)&lt;=V27+1E-9,"Pass","Fail"),"Check type"))))))))))</f>
        <v/>
      </c>
    </row>
    <row r="28">
      <c r="A28" s="21" t="n"/>
      <c r="B28" s="22" t="inlineStr">
        <is>
          <t>B's tests (15)</t>
        </is>
      </c>
      <c r="C28" s="21" t="n"/>
      <c r="D28" s="21" t="n"/>
      <c r="E28" s="21" t="n"/>
      <c r="F28" s="21" t="n"/>
      <c r="G28" s="21" t="n"/>
      <c r="H28" s="21" t="n"/>
      <c r="I28" s="21" t="n"/>
      <c r="J28" s="21" t="n"/>
      <c r="K28" s="21" t="n"/>
      <c r="L28" s="21" t="n"/>
      <c r="M28" s="21" t="n"/>
      <c r="N28" s="21" t="n"/>
      <c r="O28" s="21" t="n"/>
      <c r="P28" s="21" t="n"/>
      <c r="Q28" s="21" t="n"/>
    </row>
    <row r="29">
      <c r="A29" s="15" t="inlineStr">
        <is>
          <t>S1-022</t>
        </is>
      </c>
      <c r="B29" s="15" t="inlineStr">
        <is>
          <t>B</t>
        </is>
      </c>
      <c r="C29" s="15" t="inlineStr">
        <is>
          <t>Height search</t>
        </is>
      </c>
      <c r="D29" s="15" t="inlineStr">
        <is>
          <t>Plot 1: height within road-width cap and FAR</t>
        </is>
      </c>
      <c r="E29" s="15" t="inlineStr">
        <is>
          <t>Yes/No</t>
        </is>
      </c>
      <c r="F29" s="15" t="inlineStr">
        <is>
          <t>Book</t>
        </is>
      </c>
      <c r="G29" s="15" t="inlineStr">
        <is>
          <t>Rule</t>
        </is>
      </c>
      <c r="H29" s="15" t="inlineStr">
        <is>
          <t>Same as correct answer</t>
        </is>
      </c>
      <c r="I29" s="16" t="n"/>
      <c r="J29" s="16" t="inlineStr">
        <is>
          <t>Yes</t>
        </is>
      </c>
      <c r="K29" s="16" t="n"/>
      <c r="L29" s="17">
        <f>IF(W29="","",W29)</f>
        <v/>
      </c>
      <c r="M29" s="18">
        <f>IF(O29&lt;&gt;"",O29,Y29)</f>
        <v/>
      </c>
      <c r="N29" s="16" t="n"/>
      <c r="O29" s="19" t="n"/>
      <c r="P29" s="19" t="n"/>
      <c r="Q29" s="19" t="n"/>
      <c r="R29" s="20" t="inlineStr">
        <is>
          <t>Bye-law height and FAR limits</t>
        </is>
      </c>
      <c r="S29" s="20" t="inlineStr">
        <is>
          <t>n/a</t>
        </is>
      </c>
      <c r="T29" s="20" t="inlineStr">
        <is>
          <t>Exact</t>
        </is>
      </c>
      <c r="U29" s="20" t="n"/>
      <c r="V29" s="20" t="n"/>
      <c r="W29" s="20">
        <f>IF(AND(ISNUMBER(I29),ISNUMBER(J29)),I29-J29,"")</f>
        <v/>
      </c>
      <c r="X29" s="20">
        <f>IF(AND(ISNUMBER(I29),ISNUMBER(J29)),IF(J29=0,"",(I29-J29)/ABS(J29)),"")</f>
        <v/>
      </c>
      <c r="Y29" s="20">
        <f>IF(T29="Advisory","No pass mark",IF(T29="Manual","Claude will check",IF(I29="","Not done yet",IF(T29="Exact",IF(AND(ISNUMBER(I29),ISNUMBER(J29)),IF(ROUND(I29,2)=ROUND(J29,2),"Pass","Fail"),IF(TRIM(LOWER(I29&amp;""))=TRIM(LOWER(J29&amp;"")),"Pass","Fail")),IF(T29="Min",IF(I29&gt;=U29-1E-9,"Pass","Fail"),IF(T29="Between",IF(AND(I29&gt;=U29,I29&lt;=V29),"Pass","Fail"),IF(J29="","Not done yet",IF(T29="±%",IF(X29="","Check correct answer",IF(ABS(X29)*100&lt;=V29+1E-9,"Pass","Fail")),IF(T29="% range",IF(X29="","Check correct answer",IF(AND(X29*100&gt;=U29-1E-9,X29*100&lt;=V29+1E-9),"Pass","Fail")),IF(T29="±abs",IF(ABS(W29)&lt;=V29+1E-9,"Pass","Fail"),"Check type"))))))))))</f>
        <v/>
      </c>
    </row>
    <row r="30">
      <c r="A30" s="15" t="inlineStr">
        <is>
          <t>S1-023</t>
        </is>
      </c>
      <c r="B30" s="15" t="inlineStr">
        <is>
          <t>B</t>
        </is>
      </c>
      <c r="C30" s="15" t="inlineStr">
        <is>
          <t>Height search</t>
        </is>
      </c>
      <c r="D30" s="15" t="inlineStr">
        <is>
          <t>Plot 2: height within road-width cap and FAR</t>
        </is>
      </c>
      <c r="E30" s="15" t="inlineStr">
        <is>
          <t>Yes/No</t>
        </is>
      </c>
      <c r="F30" s="15" t="inlineStr">
        <is>
          <t>Book</t>
        </is>
      </c>
      <c r="G30" s="15" t="inlineStr">
        <is>
          <t>Rule</t>
        </is>
      </c>
      <c r="H30" s="15" t="inlineStr">
        <is>
          <t>Same as correct answer</t>
        </is>
      </c>
      <c r="I30" s="16" t="n"/>
      <c r="J30" s="16" t="inlineStr">
        <is>
          <t>Yes</t>
        </is>
      </c>
      <c r="K30" s="16" t="n"/>
      <c r="L30" s="17">
        <f>IF(W30="","",W30)</f>
        <v/>
      </c>
      <c r="M30" s="18">
        <f>IF(O30&lt;&gt;"",O30,Y30)</f>
        <v/>
      </c>
      <c r="N30" s="16" t="n"/>
      <c r="O30" s="19" t="n"/>
      <c r="P30" s="19" t="n"/>
      <c r="Q30" s="19" t="n"/>
      <c r="R30" s="20" t="inlineStr">
        <is>
          <t>Bye-law height and FAR limits</t>
        </is>
      </c>
      <c r="S30" s="20" t="inlineStr">
        <is>
          <t>n/a</t>
        </is>
      </c>
      <c r="T30" s="20" t="inlineStr">
        <is>
          <t>Exact</t>
        </is>
      </c>
      <c r="U30" s="20" t="n"/>
      <c r="V30" s="20" t="n"/>
      <c r="W30" s="20">
        <f>IF(AND(ISNUMBER(I30),ISNUMBER(J30)),I30-J30,"")</f>
        <v/>
      </c>
      <c r="X30" s="20">
        <f>IF(AND(ISNUMBER(I30),ISNUMBER(J30)),IF(J30=0,"",(I30-J30)/ABS(J30)),"")</f>
        <v/>
      </c>
      <c r="Y30" s="20">
        <f>IF(T30="Advisory","No pass mark",IF(T30="Manual","Claude will check",IF(I30="","Not done yet",IF(T30="Exact",IF(AND(ISNUMBER(I30),ISNUMBER(J30)),IF(ROUND(I30,2)=ROUND(J30,2),"Pass","Fail"),IF(TRIM(LOWER(I30&amp;""))=TRIM(LOWER(J30&amp;"")),"Pass","Fail")),IF(T30="Min",IF(I30&gt;=U30-1E-9,"Pass","Fail"),IF(T30="Between",IF(AND(I30&gt;=U30,I30&lt;=V30),"Pass","Fail"),IF(J30="","Not done yet",IF(T30="±%",IF(X30="","Check correct answer",IF(ABS(X30)*100&lt;=V30+1E-9,"Pass","Fail")),IF(T30="% range",IF(X30="","Check correct answer",IF(AND(X30*100&gt;=U30-1E-9,X30*100&lt;=V30+1E-9),"Pass","Fail")),IF(T30="±abs",IF(ABS(W30)&lt;=V30+1E-9,"Pass","Fail"),"Check type"))))))))))</f>
        <v/>
      </c>
    </row>
    <row r="31">
      <c r="A31" s="15" t="inlineStr">
        <is>
          <t>S1-024</t>
        </is>
      </c>
      <c r="B31" s="15" t="inlineStr">
        <is>
          <t>B</t>
        </is>
      </c>
      <c r="C31" s="15" t="inlineStr">
        <is>
          <t>Height search</t>
        </is>
      </c>
      <c r="D31" s="15" t="inlineStr">
        <is>
          <t>Plot 3: height within road-width cap and FAR</t>
        </is>
      </c>
      <c r="E31" s="15" t="inlineStr">
        <is>
          <t>Yes/No</t>
        </is>
      </c>
      <c r="F31" s="15" t="inlineStr">
        <is>
          <t>Book</t>
        </is>
      </c>
      <c r="G31" s="15" t="inlineStr">
        <is>
          <t>Rule</t>
        </is>
      </c>
      <c r="H31" s="15" t="inlineStr">
        <is>
          <t>Same as correct answer</t>
        </is>
      </c>
      <c r="I31" s="16" t="n"/>
      <c r="J31" s="16" t="inlineStr">
        <is>
          <t>Yes</t>
        </is>
      </c>
      <c r="K31" s="16" t="n"/>
      <c r="L31" s="17">
        <f>IF(W31="","",W31)</f>
        <v/>
      </c>
      <c r="M31" s="18">
        <f>IF(O31&lt;&gt;"",O31,Y31)</f>
        <v/>
      </c>
      <c r="N31" s="16" t="n"/>
      <c r="O31" s="19" t="n"/>
      <c r="P31" s="19" t="n"/>
      <c r="Q31" s="19" t="n"/>
      <c r="R31" s="20" t="inlineStr">
        <is>
          <t>Bye-law height and FAR limits</t>
        </is>
      </c>
      <c r="S31" s="20" t="inlineStr">
        <is>
          <t>n/a</t>
        </is>
      </c>
      <c r="T31" s="20" t="inlineStr">
        <is>
          <t>Exact</t>
        </is>
      </c>
      <c r="U31" s="20" t="n"/>
      <c r="V31" s="20" t="n"/>
      <c r="W31" s="20">
        <f>IF(AND(ISNUMBER(I31),ISNUMBER(J31)),I31-J31,"")</f>
        <v/>
      </c>
      <c r="X31" s="20">
        <f>IF(AND(ISNUMBER(I31),ISNUMBER(J31)),IF(J31=0,"",(I31-J31)/ABS(J31)),"")</f>
        <v/>
      </c>
      <c r="Y31" s="20">
        <f>IF(T31="Advisory","No pass mark",IF(T31="Manual","Claude will check",IF(I31="","Not done yet",IF(T31="Exact",IF(AND(ISNUMBER(I31),ISNUMBER(J31)),IF(ROUND(I31,2)=ROUND(J31,2),"Pass","Fail"),IF(TRIM(LOWER(I31&amp;""))=TRIM(LOWER(J31&amp;"")),"Pass","Fail")),IF(T31="Min",IF(I31&gt;=U31-1E-9,"Pass","Fail"),IF(T31="Between",IF(AND(I31&gt;=U31,I31&lt;=V31),"Pass","Fail"),IF(J31="","Not done yet",IF(T31="±%",IF(X31="","Check correct answer",IF(ABS(X31)*100&lt;=V31+1E-9,"Pass","Fail")),IF(T31="% range",IF(X31="","Check correct answer",IF(AND(X31*100&gt;=U31-1E-9,X31*100&lt;=V31+1E-9),"Pass","Fail")),IF(T31="±abs",IF(ABS(W31)&lt;=V31+1E-9,"Pass","Fail"),"Check type"))))))))))</f>
        <v/>
      </c>
    </row>
    <row r="32">
      <c r="A32" s="15" t="inlineStr">
        <is>
          <t>S1-025</t>
        </is>
      </c>
      <c r="B32" s="15" t="inlineStr">
        <is>
          <t>B</t>
        </is>
      </c>
      <c r="C32" s="15" t="inlineStr">
        <is>
          <t>Height search</t>
        </is>
      </c>
      <c r="D32" s="15" t="inlineStr">
        <is>
          <t>Plot 4: height within road-width cap and FAR</t>
        </is>
      </c>
      <c r="E32" s="15" t="inlineStr">
        <is>
          <t>Yes/No</t>
        </is>
      </c>
      <c r="F32" s="15" t="inlineStr">
        <is>
          <t>Book</t>
        </is>
      </c>
      <c r="G32" s="15" t="inlineStr">
        <is>
          <t>Rule</t>
        </is>
      </c>
      <c r="H32" s="15" t="inlineStr">
        <is>
          <t>Same as correct answer</t>
        </is>
      </c>
      <c r="I32" s="16" t="n"/>
      <c r="J32" s="16" t="inlineStr">
        <is>
          <t>Yes</t>
        </is>
      </c>
      <c r="K32" s="16" t="n"/>
      <c r="L32" s="17">
        <f>IF(W32="","",W32)</f>
        <v/>
      </c>
      <c r="M32" s="18">
        <f>IF(O32&lt;&gt;"",O32,Y32)</f>
        <v/>
      </c>
      <c r="N32" s="16" t="n"/>
      <c r="O32" s="19" t="n"/>
      <c r="P32" s="19" t="n"/>
      <c r="Q32" s="19" t="n"/>
      <c r="R32" s="20" t="inlineStr">
        <is>
          <t>Bye-law height and FAR limits</t>
        </is>
      </c>
      <c r="S32" s="20" t="inlineStr">
        <is>
          <t>n/a</t>
        </is>
      </c>
      <c r="T32" s="20" t="inlineStr">
        <is>
          <t>Exact</t>
        </is>
      </c>
      <c r="U32" s="20" t="n"/>
      <c r="V32" s="20" t="n"/>
      <c r="W32" s="20">
        <f>IF(AND(ISNUMBER(I32),ISNUMBER(J32)),I32-J32,"")</f>
        <v/>
      </c>
      <c r="X32" s="20">
        <f>IF(AND(ISNUMBER(I32),ISNUMBER(J32)),IF(J32=0,"",(I32-J32)/ABS(J32)),"")</f>
        <v/>
      </c>
      <c r="Y32" s="20">
        <f>IF(T32="Advisory","No pass mark",IF(T32="Manual","Claude will check",IF(I32="","Not done yet",IF(T32="Exact",IF(AND(ISNUMBER(I32),ISNUMBER(J32)),IF(ROUND(I32,2)=ROUND(J32,2),"Pass","Fail"),IF(TRIM(LOWER(I32&amp;""))=TRIM(LOWER(J32&amp;"")),"Pass","Fail")),IF(T32="Min",IF(I32&gt;=U32-1E-9,"Pass","Fail"),IF(T32="Between",IF(AND(I32&gt;=U32,I32&lt;=V32),"Pass","Fail"),IF(J32="","Not done yet",IF(T32="±%",IF(X32="","Check correct answer",IF(ABS(X32)*100&lt;=V32+1E-9,"Pass","Fail")),IF(T32="% range",IF(X32="","Check correct answer",IF(AND(X32*100&gt;=U32-1E-9,X32*100&lt;=V32+1E-9),"Pass","Fail")),IF(T32="±abs",IF(ABS(W32)&lt;=V32+1E-9,"Pass","Fail"),"Check type"))))))))))</f>
        <v/>
      </c>
    </row>
    <row r="33">
      <c r="A33" s="15" t="inlineStr">
        <is>
          <t>S1-026</t>
        </is>
      </c>
      <c r="B33" s="15" t="inlineStr">
        <is>
          <t>B</t>
        </is>
      </c>
      <c r="C33" s="15" t="inlineStr">
        <is>
          <t>Height search</t>
        </is>
      </c>
      <c r="D33" s="15" t="inlineStr">
        <is>
          <t>Plot 5: height within road-width cap and FAR</t>
        </is>
      </c>
      <c r="E33" s="15" t="inlineStr">
        <is>
          <t>Yes/No</t>
        </is>
      </c>
      <c r="F33" s="15" t="inlineStr">
        <is>
          <t>Book</t>
        </is>
      </c>
      <c r="G33" s="15" t="inlineStr">
        <is>
          <t>Rule</t>
        </is>
      </c>
      <c r="H33" s="15" t="inlineStr">
        <is>
          <t>Same as correct answer</t>
        </is>
      </c>
      <c r="I33" s="16" t="n"/>
      <c r="J33" s="16" t="inlineStr">
        <is>
          <t>Yes</t>
        </is>
      </c>
      <c r="K33" s="16" t="n"/>
      <c r="L33" s="17">
        <f>IF(W33="","",W33)</f>
        <v/>
      </c>
      <c r="M33" s="18">
        <f>IF(O33&lt;&gt;"",O33,Y33)</f>
        <v/>
      </c>
      <c r="N33" s="16" t="n"/>
      <c r="O33" s="19" t="n"/>
      <c r="P33" s="19" t="n"/>
      <c r="Q33" s="19" t="n"/>
      <c r="R33" s="20" t="inlineStr">
        <is>
          <t>Bye-law height and FAR limits</t>
        </is>
      </c>
      <c r="S33" s="20" t="inlineStr">
        <is>
          <t>n/a</t>
        </is>
      </c>
      <c r="T33" s="20" t="inlineStr">
        <is>
          <t>Exact</t>
        </is>
      </c>
      <c r="U33" s="20" t="n"/>
      <c r="V33" s="20" t="n"/>
      <c r="W33" s="20">
        <f>IF(AND(ISNUMBER(I33),ISNUMBER(J33)),I33-J33,"")</f>
        <v/>
      </c>
      <c r="X33" s="20">
        <f>IF(AND(ISNUMBER(I33),ISNUMBER(J33)),IF(J33=0,"",(I33-J33)/ABS(J33)),"")</f>
        <v/>
      </c>
      <c r="Y33" s="20">
        <f>IF(T33="Advisory","No pass mark",IF(T33="Manual","Claude will check",IF(I33="","Not done yet",IF(T33="Exact",IF(AND(ISNUMBER(I33),ISNUMBER(J33)),IF(ROUND(I33,2)=ROUND(J33,2),"Pass","Fail"),IF(TRIM(LOWER(I33&amp;""))=TRIM(LOWER(J33&amp;"")),"Pass","Fail")),IF(T33="Min",IF(I33&gt;=U33-1E-9,"Pass","Fail"),IF(T33="Between",IF(AND(I33&gt;=U33,I33&lt;=V33),"Pass","Fail"),IF(J33="","Not done yet",IF(T33="±%",IF(X33="","Check correct answer",IF(ABS(X33)*100&lt;=V33+1E-9,"Pass","Fail")),IF(T33="% range",IF(X33="","Check correct answer",IF(AND(X33*100&gt;=U33-1E-9,X33*100&lt;=V33+1E-9),"Pass","Fail")),IF(T33="±abs",IF(ABS(W33)&lt;=V33+1E-9,"Pass","Fail"),"Check type"))))))))))</f>
        <v/>
      </c>
    </row>
    <row r="34">
      <c r="A34" s="15" t="inlineStr">
        <is>
          <t>S1-027</t>
        </is>
      </c>
      <c r="B34" s="15" t="inlineStr">
        <is>
          <t>B</t>
        </is>
      </c>
      <c r="C34" s="15" t="inlineStr">
        <is>
          <t>Height search</t>
        </is>
      </c>
      <c r="D34" s="15" t="inlineStr">
        <is>
          <t>Plot 6: height within road-width cap and FAR</t>
        </is>
      </c>
      <c r="E34" s="15" t="inlineStr">
        <is>
          <t>Yes/No</t>
        </is>
      </c>
      <c r="F34" s="15" t="inlineStr">
        <is>
          <t>Book</t>
        </is>
      </c>
      <c r="G34" s="15" t="inlineStr">
        <is>
          <t>Rule</t>
        </is>
      </c>
      <c r="H34" s="15" t="inlineStr">
        <is>
          <t>Same as correct answer</t>
        </is>
      </c>
      <c r="I34" s="16" t="n"/>
      <c r="J34" s="16" t="inlineStr">
        <is>
          <t>Yes</t>
        </is>
      </c>
      <c r="K34" s="16" t="n"/>
      <c r="L34" s="17">
        <f>IF(W34="","",W34)</f>
        <v/>
      </c>
      <c r="M34" s="18">
        <f>IF(O34&lt;&gt;"",O34,Y34)</f>
        <v/>
      </c>
      <c r="N34" s="16" t="n"/>
      <c r="O34" s="19" t="n"/>
      <c r="P34" s="19" t="n"/>
      <c r="Q34" s="19" t="n"/>
      <c r="R34" s="20" t="inlineStr">
        <is>
          <t>Bye-law height and FAR limits</t>
        </is>
      </c>
      <c r="S34" s="20" t="inlineStr">
        <is>
          <t>n/a</t>
        </is>
      </c>
      <c r="T34" s="20" t="inlineStr">
        <is>
          <t>Exact</t>
        </is>
      </c>
      <c r="U34" s="20" t="n"/>
      <c r="V34" s="20" t="n"/>
      <c r="W34" s="20">
        <f>IF(AND(ISNUMBER(I34),ISNUMBER(J34)),I34-J34,"")</f>
        <v/>
      </c>
      <c r="X34" s="20">
        <f>IF(AND(ISNUMBER(I34),ISNUMBER(J34)),IF(J34=0,"",(I34-J34)/ABS(J34)),"")</f>
        <v/>
      </c>
      <c r="Y34" s="20">
        <f>IF(T34="Advisory","No pass mark",IF(T34="Manual","Claude will check",IF(I34="","Not done yet",IF(T34="Exact",IF(AND(ISNUMBER(I34),ISNUMBER(J34)),IF(ROUND(I34,2)=ROUND(J34,2),"Pass","Fail"),IF(TRIM(LOWER(I34&amp;""))=TRIM(LOWER(J34&amp;"")),"Pass","Fail")),IF(T34="Min",IF(I34&gt;=U34-1E-9,"Pass","Fail"),IF(T34="Between",IF(AND(I34&gt;=U34,I34&lt;=V34),"Pass","Fail"),IF(J34="","Not done yet",IF(T34="±%",IF(X34="","Check correct answer",IF(ABS(X34)*100&lt;=V34+1E-9,"Pass","Fail")),IF(T34="% range",IF(X34="","Check correct answer",IF(AND(X34*100&gt;=U34-1E-9,X34*100&lt;=V34+1E-9),"Pass","Fail")),IF(T34="±abs",IF(ABS(W34)&lt;=V34+1E-9,"Pass","Fail"),"Check type"))))))))))</f>
        <v/>
      </c>
    </row>
    <row r="35">
      <c r="A35" s="15" t="inlineStr">
        <is>
          <t>S1-028</t>
        </is>
      </c>
      <c r="B35" s="15" t="inlineStr">
        <is>
          <t>B</t>
        </is>
      </c>
      <c r="C35" s="15" t="inlineStr">
        <is>
          <t>Height search</t>
        </is>
      </c>
      <c r="D35" s="15" t="inlineStr">
        <is>
          <t>Plot 7: height within road-width cap and FAR</t>
        </is>
      </c>
      <c r="E35" s="15" t="inlineStr">
        <is>
          <t>Yes/No</t>
        </is>
      </c>
      <c r="F35" s="15" t="inlineStr">
        <is>
          <t>Book</t>
        </is>
      </c>
      <c r="G35" s="15" t="inlineStr">
        <is>
          <t>Rule</t>
        </is>
      </c>
      <c r="H35" s="15" t="inlineStr">
        <is>
          <t>Same as correct answer</t>
        </is>
      </c>
      <c r="I35" s="16" t="n"/>
      <c r="J35" s="16" t="inlineStr">
        <is>
          <t>Yes</t>
        </is>
      </c>
      <c r="K35" s="16" t="n"/>
      <c r="L35" s="17">
        <f>IF(W35="","",W35)</f>
        <v/>
      </c>
      <c r="M35" s="18">
        <f>IF(O35&lt;&gt;"",O35,Y35)</f>
        <v/>
      </c>
      <c r="N35" s="16" t="n"/>
      <c r="O35" s="19" t="n"/>
      <c r="P35" s="19" t="n"/>
      <c r="Q35" s="19" t="n"/>
      <c r="R35" s="20" t="inlineStr">
        <is>
          <t>Bye-law height and FAR limits</t>
        </is>
      </c>
      <c r="S35" s="20" t="inlineStr">
        <is>
          <t>n/a</t>
        </is>
      </c>
      <c r="T35" s="20" t="inlineStr">
        <is>
          <t>Exact</t>
        </is>
      </c>
      <c r="U35" s="20" t="n"/>
      <c r="V35" s="20" t="n"/>
      <c r="W35" s="20">
        <f>IF(AND(ISNUMBER(I35),ISNUMBER(J35)),I35-J35,"")</f>
        <v/>
      </c>
      <c r="X35" s="20">
        <f>IF(AND(ISNUMBER(I35),ISNUMBER(J35)),IF(J35=0,"",(I35-J35)/ABS(J35)),"")</f>
        <v/>
      </c>
      <c r="Y35" s="20">
        <f>IF(T35="Advisory","No pass mark",IF(T35="Manual","Claude will check",IF(I35="","Not done yet",IF(T35="Exact",IF(AND(ISNUMBER(I35),ISNUMBER(J35)),IF(ROUND(I35,2)=ROUND(J35,2),"Pass","Fail"),IF(TRIM(LOWER(I35&amp;""))=TRIM(LOWER(J35&amp;"")),"Pass","Fail")),IF(T35="Min",IF(I35&gt;=U35-1E-9,"Pass","Fail"),IF(T35="Between",IF(AND(I35&gt;=U35,I35&lt;=V35),"Pass","Fail"),IF(J35="","Not done yet",IF(T35="±%",IF(X35="","Check correct answer",IF(ABS(X35)*100&lt;=V35+1E-9,"Pass","Fail")),IF(T35="% range",IF(X35="","Check correct answer",IF(AND(X35*100&gt;=U35-1E-9,X35*100&lt;=V35+1E-9),"Pass","Fail")),IF(T35="±abs",IF(ABS(W35)&lt;=V35+1E-9,"Pass","Fail"),"Check type"))))))))))</f>
        <v/>
      </c>
    </row>
    <row r="36">
      <c r="A36" s="15" t="inlineStr">
        <is>
          <t>S1-029</t>
        </is>
      </c>
      <c r="B36" s="15" t="inlineStr">
        <is>
          <t>B</t>
        </is>
      </c>
      <c r="C36" s="15" t="inlineStr">
        <is>
          <t>Height search</t>
        </is>
      </c>
      <c r="D36" s="15" t="inlineStr">
        <is>
          <t>Plot 8: height within road-width cap and FAR</t>
        </is>
      </c>
      <c r="E36" s="15" t="inlineStr">
        <is>
          <t>Yes/No</t>
        </is>
      </c>
      <c r="F36" s="15" t="inlineStr">
        <is>
          <t>Book</t>
        </is>
      </c>
      <c r="G36" s="15" t="inlineStr">
        <is>
          <t>Rule</t>
        </is>
      </c>
      <c r="H36" s="15" t="inlineStr">
        <is>
          <t>Same as correct answer</t>
        </is>
      </c>
      <c r="I36" s="16" t="n"/>
      <c r="J36" s="16" t="inlineStr">
        <is>
          <t>Yes</t>
        </is>
      </c>
      <c r="K36" s="16" t="n"/>
      <c r="L36" s="17">
        <f>IF(W36="","",W36)</f>
        <v/>
      </c>
      <c r="M36" s="18">
        <f>IF(O36&lt;&gt;"",O36,Y36)</f>
        <v/>
      </c>
      <c r="N36" s="16" t="n"/>
      <c r="O36" s="19" t="n"/>
      <c r="P36" s="19" t="n"/>
      <c r="Q36" s="19" t="n"/>
      <c r="R36" s="20" t="inlineStr">
        <is>
          <t>Bye-law height and FAR limits</t>
        </is>
      </c>
      <c r="S36" s="20" t="inlineStr">
        <is>
          <t>n/a</t>
        </is>
      </c>
      <c r="T36" s="20" t="inlineStr">
        <is>
          <t>Exact</t>
        </is>
      </c>
      <c r="U36" s="20" t="n"/>
      <c r="V36" s="20" t="n"/>
      <c r="W36" s="20">
        <f>IF(AND(ISNUMBER(I36),ISNUMBER(J36)),I36-J36,"")</f>
        <v/>
      </c>
      <c r="X36" s="20">
        <f>IF(AND(ISNUMBER(I36),ISNUMBER(J36)),IF(J36=0,"",(I36-J36)/ABS(J36)),"")</f>
        <v/>
      </c>
      <c r="Y36" s="20">
        <f>IF(T36="Advisory","No pass mark",IF(T36="Manual","Claude will check",IF(I36="","Not done yet",IF(T36="Exact",IF(AND(ISNUMBER(I36),ISNUMBER(J36)),IF(ROUND(I36,2)=ROUND(J36,2),"Pass","Fail"),IF(TRIM(LOWER(I36&amp;""))=TRIM(LOWER(J36&amp;"")),"Pass","Fail")),IF(T36="Min",IF(I36&gt;=U36-1E-9,"Pass","Fail"),IF(T36="Between",IF(AND(I36&gt;=U36,I36&lt;=V36),"Pass","Fail"),IF(J36="","Not done yet",IF(T36="±%",IF(X36="","Check correct answer",IF(ABS(X36)*100&lt;=V36+1E-9,"Pass","Fail")),IF(T36="% range",IF(X36="","Check correct answer",IF(AND(X36*100&gt;=U36-1E-9,X36*100&lt;=V36+1E-9),"Pass","Fail")),IF(T36="±abs",IF(ABS(W36)&lt;=V36+1E-9,"Pass","Fail"),"Check type"))))))))))</f>
        <v/>
      </c>
    </row>
    <row r="37">
      <c r="A37" s="15" t="inlineStr">
        <is>
          <t>S1-030</t>
        </is>
      </c>
      <c r="B37" s="15" t="inlineStr">
        <is>
          <t>B</t>
        </is>
      </c>
      <c r="C37" s="15" t="inlineStr">
        <is>
          <t>Height search</t>
        </is>
      </c>
      <c r="D37" s="15" t="inlineStr">
        <is>
          <t>Plot 9: height within road-width cap and FAR</t>
        </is>
      </c>
      <c r="E37" s="15" t="inlineStr">
        <is>
          <t>Yes/No</t>
        </is>
      </c>
      <c r="F37" s="15" t="inlineStr">
        <is>
          <t>Book</t>
        </is>
      </c>
      <c r="G37" s="15" t="inlineStr">
        <is>
          <t>Rule</t>
        </is>
      </c>
      <c r="H37" s="15" t="inlineStr">
        <is>
          <t>Same as correct answer</t>
        </is>
      </c>
      <c r="I37" s="16" t="n"/>
      <c r="J37" s="16" t="inlineStr">
        <is>
          <t>Yes</t>
        </is>
      </c>
      <c r="K37" s="16" t="n"/>
      <c r="L37" s="17">
        <f>IF(W37="","",W37)</f>
        <v/>
      </c>
      <c r="M37" s="18">
        <f>IF(O37&lt;&gt;"",O37,Y37)</f>
        <v/>
      </c>
      <c r="N37" s="16" t="n"/>
      <c r="O37" s="19" t="n"/>
      <c r="P37" s="19" t="n"/>
      <c r="Q37" s="19" t="n"/>
      <c r="R37" s="20" t="inlineStr">
        <is>
          <t>Bye-law height and FAR limits</t>
        </is>
      </c>
      <c r="S37" s="20" t="inlineStr">
        <is>
          <t>n/a</t>
        </is>
      </c>
      <c r="T37" s="20" t="inlineStr">
        <is>
          <t>Exact</t>
        </is>
      </c>
      <c r="U37" s="20" t="n"/>
      <c r="V37" s="20" t="n"/>
      <c r="W37" s="20">
        <f>IF(AND(ISNUMBER(I37),ISNUMBER(J37)),I37-J37,"")</f>
        <v/>
      </c>
      <c r="X37" s="20">
        <f>IF(AND(ISNUMBER(I37),ISNUMBER(J37)),IF(J37=0,"",(I37-J37)/ABS(J37)),"")</f>
        <v/>
      </c>
      <c r="Y37" s="20">
        <f>IF(T37="Advisory","No pass mark",IF(T37="Manual","Claude will check",IF(I37="","Not done yet",IF(T37="Exact",IF(AND(ISNUMBER(I37),ISNUMBER(J37)),IF(ROUND(I37,2)=ROUND(J37,2),"Pass","Fail"),IF(TRIM(LOWER(I37&amp;""))=TRIM(LOWER(J37&amp;"")),"Pass","Fail")),IF(T37="Min",IF(I37&gt;=U37-1E-9,"Pass","Fail"),IF(T37="Between",IF(AND(I37&gt;=U37,I37&lt;=V37),"Pass","Fail"),IF(J37="","Not done yet",IF(T37="±%",IF(X37="","Check correct answer",IF(ABS(X37)*100&lt;=V37+1E-9,"Pass","Fail")),IF(T37="% range",IF(X37="","Check correct answer",IF(AND(X37*100&gt;=U37-1E-9,X37*100&lt;=V37+1E-9),"Pass","Fail")),IF(T37="±abs",IF(ABS(W37)&lt;=V37+1E-9,"Pass","Fail"),"Check type"))))))))))</f>
        <v/>
      </c>
    </row>
    <row r="38">
      <c r="A38" s="15" t="inlineStr">
        <is>
          <t>S1-031</t>
        </is>
      </c>
      <c r="B38" s="15" t="inlineStr">
        <is>
          <t>B</t>
        </is>
      </c>
      <c r="C38" s="15" t="inlineStr">
        <is>
          <t>Height search</t>
        </is>
      </c>
      <c r="D38" s="15" t="inlineStr">
        <is>
          <t>Plot 10: height within road-width cap and FAR</t>
        </is>
      </c>
      <c r="E38" s="15" t="inlineStr">
        <is>
          <t>Yes/No</t>
        </is>
      </c>
      <c r="F38" s="15" t="inlineStr">
        <is>
          <t>Book</t>
        </is>
      </c>
      <c r="G38" s="15" t="inlineStr">
        <is>
          <t>Rule</t>
        </is>
      </c>
      <c r="H38" s="15" t="inlineStr">
        <is>
          <t>Same as correct answer</t>
        </is>
      </c>
      <c r="I38" s="16" t="n"/>
      <c r="J38" s="16" t="inlineStr">
        <is>
          <t>Yes</t>
        </is>
      </c>
      <c r="K38" s="16" t="n"/>
      <c r="L38" s="17">
        <f>IF(W38="","",W38)</f>
        <v/>
      </c>
      <c r="M38" s="18">
        <f>IF(O38&lt;&gt;"",O38,Y38)</f>
        <v/>
      </c>
      <c r="N38" s="16" t="n"/>
      <c r="O38" s="19" t="n"/>
      <c r="P38" s="19" t="n"/>
      <c r="Q38" s="19" t="n"/>
      <c r="R38" s="20" t="inlineStr">
        <is>
          <t>Bye-law height and FAR limits</t>
        </is>
      </c>
      <c r="S38" s="20" t="inlineStr">
        <is>
          <t>n/a</t>
        </is>
      </c>
      <c r="T38" s="20" t="inlineStr">
        <is>
          <t>Exact</t>
        </is>
      </c>
      <c r="U38" s="20" t="n"/>
      <c r="V38" s="20" t="n"/>
      <c r="W38" s="20">
        <f>IF(AND(ISNUMBER(I38),ISNUMBER(J38)),I38-J38,"")</f>
        <v/>
      </c>
      <c r="X38" s="20">
        <f>IF(AND(ISNUMBER(I38),ISNUMBER(J38)),IF(J38=0,"",(I38-J38)/ABS(J38)),"")</f>
        <v/>
      </c>
      <c r="Y38" s="20">
        <f>IF(T38="Advisory","No pass mark",IF(T38="Manual","Claude will check",IF(I38="","Not done yet",IF(T38="Exact",IF(AND(ISNUMBER(I38),ISNUMBER(J38)),IF(ROUND(I38,2)=ROUND(J38,2),"Pass","Fail"),IF(TRIM(LOWER(I38&amp;""))=TRIM(LOWER(J38&amp;"")),"Pass","Fail")),IF(T38="Min",IF(I38&gt;=U38-1E-9,"Pass","Fail"),IF(T38="Between",IF(AND(I38&gt;=U38,I38&lt;=V38),"Pass","Fail"),IF(J38="","Not done yet",IF(T38="±%",IF(X38="","Check correct answer",IF(ABS(X38)*100&lt;=V38+1E-9,"Pass","Fail")),IF(T38="% range",IF(X38="","Check correct answer",IF(AND(X38*100&gt;=U38-1E-9,X38*100&lt;=V38+1E-9),"Pass","Fail")),IF(T38="±abs",IF(ABS(W38)&lt;=V38+1E-9,"Pass","Fail"),"Check type"))))))))))</f>
        <v/>
      </c>
    </row>
    <row r="39">
      <c r="A39" s="15" t="inlineStr">
        <is>
          <t>S1-032</t>
        </is>
      </c>
      <c r="B39" s="15" t="inlineStr">
        <is>
          <t>B</t>
        </is>
      </c>
      <c r="C39" s="15" t="inlineStr">
        <is>
          <t>Height search</t>
        </is>
      </c>
      <c r="D39" s="15" t="inlineStr">
        <is>
          <t>RERA project P1: floors chosen vs sanctioned</t>
        </is>
      </c>
      <c r="E39" s="15" t="inlineStr">
        <is>
          <t>floors</t>
        </is>
      </c>
      <c r="F39" s="15" t="inlineStr">
        <is>
          <t>Real</t>
        </is>
      </c>
      <c r="G39" s="15" t="inlineStr">
        <is>
          <t>Sanctioned plan</t>
        </is>
      </c>
      <c r="H39" s="15" t="inlineStr">
        <is>
          <t>Within ±1 floor</t>
        </is>
      </c>
      <c r="I39" s="16" t="n"/>
      <c r="J39" s="16" t="n"/>
      <c r="K39" s="16" t="n"/>
      <c r="L39" s="17">
        <f>IF(W39="","",W39)</f>
        <v/>
      </c>
      <c r="M39" s="18">
        <f>IF(O39&lt;&gt;"",O39,Y39)</f>
        <v/>
      </c>
      <c r="N39" s="16" t="n"/>
      <c r="O39" s="19" t="n"/>
      <c r="P39" s="19" t="n"/>
      <c r="Q39" s="19" t="n"/>
      <c r="R39" s="20" t="inlineStr">
        <is>
          <t>—</t>
        </is>
      </c>
      <c r="S39" s="20" t="inlineStr">
        <is>
          <t>n/a</t>
        </is>
      </c>
      <c r="T39" s="20" t="inlineStr">
        <is>
          <t>±abs</t>
        </is>
      </c>
      <c r="U39" s="20" t="n"/>
      <c r="V39" s="20" t="n">
        <v>1</v>
      </c>
      <c r="W39" s="20">
        <f>IF(AND(ISNUMBER(I39),ISNUMBER(J39)),I39-J39,"")</f>
        <v/>
      </c>
      <c r="X39" s="20">
        <f>IF(AND(ISNUMBER(I39),ISNUMBER(J39)),IF(J39=0,"",(I39-J39)/ABS(J39)),"")</f>
        <v/>
      </c>
      <c r="Y39" s="20">
        <f>IF(T39="Advisory","No pass mark",IF(T39="Manual","Claude will check",IF(I39="","Not done yet",IF(T39="Exact",IF(AND(ISNUMBER(I39),ISNUMBER(J39)),IF(ROUND(I39,2)=ROUND(J39,2),"Pass","Fail"),IF(TRIM(LOWER(I39&amp;""))=TRIM(LOWER(J39&amp;"")),"Pass","Fail")),IF(T39="Min",IF(I39&gt;=U39-1E-9,"Pass","Fail"),IF(T39="Between",IF(AND(I39&gt;=U39,I39&lt;=V39),"Pass","Fail"),IF(J39="","Not done yet",IF(T39="±%",IF(X39="","Check correct answer",IF(ABS(X39)*100&lt;=V39+1E-9,"Pass","Fail")),IF(T39="% range",IF(X39="","Check correct answer",IF(AND(X39*100&gt;=U39-1E-9,X39*100&lt;=V39+1E-9),"Pass","Fail")),IF(T39="±abs",IF(ABS(W39)&lt;=V39+1E-9,"Pass","Fail"),"Check type"))))))))))</f>
        <v/>
      </c>
    </row>
    <row r="40">
      <c r="A40" s="15" t="inlineStr">
        <is>
          <t>S1-033</t>
        </is>
      </c>
      <c r="B40" s="15" t="inlineStr">
        <is>
          <t>B</t>
        </is>
      </c>
      <c r="C40" s="15" t="inlineStr">
        <is>
          <t>Height search</t>
        </is>
      </c>
      <c r="D40" s="15" t="inlineStr">
        <is>
          <t>RERA project P2: floors chosen vs sanctioned</t>
        </is>
      </c>
      <c r="E40" s="15" t="inlineStr">
        <is>
          <t>floors</t>
        </is>
      </c>
      <c r="F40" s="15" t="inlineStr">
        <is>
          <t>Real</t>
        </is>
      </c>
      <c r="G40" s="15" t="inlineStr">
        <is>
          <t>Sanctioned plan</t>
        </is>
      </c>
      <c r="H40" s="15" t="inlineStr">
        <is>
          <t>Within ±1 floor</t>
        </is>
      </c>
      <c r="I40" s="16" t="n"/>
      <c r="J40" s="16" t="n"/>
      <c r="K40" s="16" t="n"/>
      <c r="L40" s="17">
        <f>IF(W40="","",W40)</f>
        <v/>
      </c>
      <c r="M40" s="18">
        <f>IF(O40&lt;&gt;"",O40,Y40)</f>
        <v/>
      </c>
      <c r="N40" s="16" t="n"/>
      <c r="O40" s="19" t="n"/>
      <c r="P40" s="19" t="n"/>
      <c r="Q40" s="19" t="n"/>
      <c r="R40" s="20" t="inlineStr">
        <is>
          <t>—</t>
        </is>
      </c>
      <c r="S40" s="20" t="inlineStr">
        <is>
          <t>n/a</t>
        </is>
      </c>
      <c r="T40" s="20" t="inlineStr">
        <is>
          <t>±abs</t>
        </is>
      </c>
      <c r="U40" s="20" t="n"/>
      <c r="V40" s="20" t="n">
        <v>1</v>
      </c>
      <c r="W40" s="20">
        <f>IF(AND(ISNUMBER(I40),ISNUMBER(J40)),I40-J40,"")</f>
        <v/>
      </c>
      <c r="X40" s="20">
        <f>IF(AND(ISNUMBER(I40),ISNUMBER(J40)),IF(J40=0,"",(I40-J40)/ABS(J40)),"")</f>
        <v/>
      </c>
      <c r="Y40" s="20">
        <f>IF(T40="Advisory","No pass mark",IF(T40="Manual","Claude will check",IF(I40="","Not done yet",IF(T40="Exact",IF(AND(ISNUMBER(I40),ISNUMBER(J40)),IF(ROUND(I40,2)=ROUND(J40,2),"Pass","Fail"),IF(TRIM(LOWER(I40&amp;""))=TRIM(LOWER(J40&amp;"")),"Pass","Fail")),IF(T40="Min",IF(I40&gt;=U40-1E-9,"Pass","Fail"),IF(T40="Between",IF(AND(I40&gt;=U40,I40&lt;=V40),"Pass","Fail"),IF(J40="","Not done yet",IF(T40="±%",IF(X40="","Check correct answer",IF(ABS(X40)*100&lt;=V40+1E-9,"Pass","Fail")),IF(T40="% range",IF(X40="","Check correct answer",IF(AND(X40*100&gt;=U40-1E-9,X40*100&lt;=V40+1E-9),"Pass","Fail")),IF(T40="±abs",IF(ABS(W40)&lt;=V40+1E-9,"Pass","Fail"),"Check type"))))))))))</f>
        <v/>
      </c>
    </row>
    <row r="41">
      <c r="A41" s="15" t="inlineStr">
        <is>
          <t>S1-034</t>
        </is>
      </c>
      <c r="B41" s="15" t="inlineStr">
        <is>
          <t>B</t>
        </is>
      </c>
      <c r="C41" s="15" t="inlineStr">
        <is>
          <t>Height search</t>
        </is>
      </c>
      <c r="D41" s="15" t="inlineStr">
        <is>
          <t>RERA project P3: floors chosen vs sanctioned</t>
        </is>
      </c>
      <c r="E41" s="15" t="inlineStr">
        <is>
          <t>floors</t>
        </is>
      </c>
      <c r="F41" s="15" t="inlineStr">
        <is>
          <t>Real</t>
        </is>
      </c>
      <c r="G41" s="15" t="inlineStr">
        <is>
          <t>Sanctioned plan</t>
        </is>
      </c>
      <c r="H41" s="15" t="inlineStr">
        <is>
          <t>Within ±1 floor</t>
        </is>
      </c>
      <c r="I41" s="16" t="n"/>
      <c r="J41" s="16" t="n"/>
      <c r="K41" s="16" t="n"/>
      <c r="L41" s="17">
        <f>IF(W41="","",W41)</f>
        <v/>
      </c>
      <c r="M41" s="18">
        <f>IF(O41&lt;&gt;"",O41,Y41)</f>
        <v/>
      </c>
      <c r="N41" s="16" t="n"/>
      <c r="O41" s="19" t="n"/>
      <c r="P41" s="19" t="n"/>
      <c r="Q41" s="19" t="n"/>
      <c r="R41" s="20" t="inlineStr">
        <is>
          <t>—</t>
        </is>
      </c>
      <c r="S41" s="20" t="inlineStr">
        <is>
          <t>n/a</t>
        </is>
      </c>
      <c r="T41" s="20" t="inlineStr">
        <is>
          <t>±abs</t>
        </is>
      </c>
      <c r="U41" s="20" t="n"/>
      <c r="V41" s="20" t="n">
        <v>1</v>
      </c>
      <c r="W41" s="20">
        <f>IF(AND(ISNUMBER(I41),ISNUMBER(J41)),I41-J41,"")</f>
        <v/>
      </c>
      <c r="X41" s="20">
        <f>IF(AND(ISNUMBER(I41),ISNUMBER(J41)),IF(J41=0,"",(I41-J41)/ABS(J41)),"")</f>
        <v/>
      </c>
      <c r="Y41" s="20">
        <f>IF(T41="Advisory","No pass mark",IF(T41="Manual","Claude will check",IF(I41="","Not done yet",IF(T41="Exact",IF(AND(ISNUMBER(I41),ISNUMBER(J41)),IF(ROUND(I41,2)=ROUND(J41,2),"Pass","Fail"),IF(TRIM(LOWER(I41&amp;""))=TRIM(LOWER(J41&amp;"")),"Pass","Fail")),IF(T41="Min",IF(I41&gt;=U41-1E-9,"Pass","Fail"),IF(T41="Between",IF(AND(I41&gt;=U41,I41&lt;=V41),"Pass","Fail"),IF(J41="","Not done yet",IF(T41="±%",IF(X41="","Check correct answer",IF(ABS(X41)*100&lt;=V41+1E-9,"Pass","Fail")),IF(T41="% range",IF(X41="","Check correct answer",IF(AND(X41*100&gt;=U41-1E-9,X41*100&lt;=V41+1E-9),"Pass","Fail")),IF(T41="±abs",IF(ABS(W41)&lt;=V41+1E-9,"Pass","Fail"),"Check type"))))))))))</f>
        <v/>
      </c>
    </row>
    <row r="42">
      <c r="A42" s="15" t="inlineStr">
        <is>
          <t>S1-035</t>
        </is>
      </c>
      <c r="B42" s="15" t="inlineStr">
        <is>
          <t>B</t>
        </is>
      </c>
      <c r="C42" s="15" t="inlineStr">
        <is>
          <t>Height search</t>
        </is>
      </c>
      <c r="D42" s="15" t="inlineStr">
        <is>
          <t>RERA project P4: floors chosen vs sanctioned</t>
        </is>
      </c>
      <c r="E42" s="15" t="inlineStr">
        <is>
          <t>floors</t>
        </is>
      </c>
      <c r="F42" s="15" t="inlineStr">
        <is>
          <t>Real</t>
        </is>
      </c>
      <c r="G42" s="15" t="inlineStr">
        <is>
          <t>Sanctioned plan</t>
        </is>
      </c>
      <c r="H42" s="15" t="inlineStr">
        <is>
          <t>Within ±1 floor</t>
        </is>
      </c>
      <c r="I42" s="16" t="n"/>
      <c r="J42" s="16" t="n"/>
      <c r="K42" s="16" t="n"/>
      <c r="L42" s="17">
        <f>IF(W42="","",W42)</f>
        <v/>
      </c>
      <c r="M42" s="18">
        <f>IF(O42&lt;&gt;"",O42,Y42)</f>
        <v/>
      </c>
      <c r="N42" s="16" t="n"/>
      <c r="O42" s="19" t="n"/>
      <c r="P42" s="19" t="n"/>
      <c r="Q42" s="19" t="n"/>
      <c r="R42" s="20" t="inlineStr">
        <is>
          <t>—</t>
        </is>
      </c>
      <c r="S42" s="20" t="inlineStr">
        <is>
          <t>n/a</t>
        </is>
      </c>
      <c r="T42" s="20" t="inlineStr">
        <is>
          <t>±abs</t>
        </is>
      </c>
      <c r="U42" s="20" t="n"/>
      <c r="V42" s="20" t="n">
        <v>1</v>
      </c>
      <c r="W42" s="20">
        <f>IF(AND(ISNUMBER(I42),ISNUMBER(J42)),I42-J42,"")</f>
        <v/>
      </c>
      <c r="X42" s="20">
        <f>IF(AND(ISNUMBER(I42),ISNUMBER(J42)),IF(J42=0,"",(I42-J42)/ABS(J42)),"")</f>
        <v/>
      </c>
      <c r="Y42" s="20">
        <f>IF(T42="Advisory","No pass mark",IF(T42="Manual","Claude will check",IF(I42="","Not done yet",IF(T42="Exact",IF(AND(ISNUMBER(I42),ISNUMBER(J42)),IF(ROUND(I42,2)=ROUND(J42,2),"Pass","Fail"),IF(TRIM(LOWER(I42&amp;""))=TRIM(LOWER(J42&amp;"")),"Pass","Fail")),IF(T42="Min",IF(I42&gt;=U42-1E-9,"Pass","Fail"),IF(T42="Between",IF(AND(I42&gt;=U42,I42&lt;=V42),"Pass","Fail"),IF(J42="","Not done yet",IF(T42="±%",IF(X42="","Check correct answer",IF(ABS(X42)*100&lt;=V42+1E-9,"Pass","Fail")),IF(T42="% range",IF(X42="","Check correct answer",IF(AND(X42*100&gt;=U42-1E-9,X42*100&lt;=V42+1E-9),"Pass","Fail")),IF(T42="±abs",IF(ABS(W42)&lt;=V42+1E-9,"Pass","Fail"),"Check type"))))))))))</f>
        <v/>
      </c>
    </row>
    <row r="43">
      <c r="A43" s="15" t="inlineStr">
        <is>
          <t>S1-036</t>
        </is>
      </c>
      <c r="B43" s="15" t="inlineStr">
        <is>
          <t>B</t>
        </is>
      </c>
      <c r="C43" s="15" t="inlineStr">
        <is>
          <t>Height search</t>
        </is>
      </c>
      <c r="D43" s="15" t="inlineStr">
        <is>
          <t>RERA project P5: floors chosen vs sanctioned</t>
        </is>
      </c>
      <c r="E43" s="15" t="inlineStr">
        <is>
          <t>floors</t>
        </is>
      </c>
      <c r="F43" s="15" t="inlineStr">
        <is>
          <t>Real</t>
        </is>
      </c>
      <c r="G43" s="15" t="inlineStr">
        <is>
          <t>Sanctioned plan</t>
        </is>
      </c>
      <c r="H43" s="15" t="inlineStr">
        <is>
          <t>Within ±1 floor</t>
        </is>
      </c>
      <c r="I43" s="16" t="n"/>
      <c r="J43" s="16" t="n"/>
      <c r="K43" s="16" t="n"/>
      <c r="L43" s="17">
        <f>IF(W43="","",W43)</f>
        <v/>
      </c>
      <c r="M43" s="18">
        <f>IF(O43&lt;&gt;"",O43,Y43)</f>
        <v/>
      </c>
      <c r="N43" s="16" t="n"/>
      <c r="O43" s="19" t="n"/>
      <c r="P43" s="19" t="n"/>
      <c r="Q43" s="19" t="n"/>
      <c r="R43" s="20" t="inlineStr">
        <is>
          <t>—</t>
        </is>
      </c>
      <c r="S43" s="20" t="inlineStr">
        <is>
          <t>n/a</t>
        </is>
      </c>
      <c r="T43" s="20" t="inlineStr">
        <is>
          <t>±abs</t>
        </is>
      </c>
      <c r="U43" s="20" t="n"/>
      <c r="V43" s="20" t="n">
        <v>1</v>
      </c>
      <c r="W43" s="20">
        <f>IF(AND(ISNUMBER(I43),ISNUMBER(J43)),I43-J43,"")</f>
        <v/>
      </c>
      <c r="X43" s="20">
        <f>IF(AND(ISNUMBER(I43),ISNUMBER(J43)),IF(J43=0,"",(I43-J43)/ABS(J43)),"")</f>
        <v/>
      </c>
      <c r="Y43" s="20">
        <f>IF(T43="Advisory","No pass mark",IF(T43="Manual","Claude will check",IF(I43="","Not done yet",IF(T43="Exact",IF(AND(ISNUMBER(I43),ISNUMBER(J43)),IF(ROUND(I43,2)=ROUND(J43,2),"Pass","Fail"),IF(TRIM(LOWER(I43&amp;""))=TRIM(LOWER(J43&amp;"")),"Pass","Fail")),IF(T43="Min",IF(I43&gt;=U43-1E-9,"Pass","Fail"),IF(T43="Between",IF(AND(I43&gt;=U43,I43&lt;=V43),"Pass","Fail"),IF(J43="","Not done yet",IF(T43="±%",IF(X43="","Check correct answer",IF(ABS(X43)*100&lt;=V43+1E-9,"Pass","Fail")),IF(T43="% range",IF(X43="","Check correct answer",IF(AND(X43*100&gt;=U43-1E-9,X43*100&lt;=V43+1E-9),"Pass","Fail")),IF(T43="±abs",IF(ABS(W43)&lt;=V43+1E-9,"Pass","Fail"),"Check type"))))))))))</f>
        <v/>
      </c>
    </row>
    <row r="44">
      <c r="A44" s="23" t="n"/>
      <c r="B44" s="24" t="inlineStr">
        <is>
          <t>C's tests (21)</t>
        </is>
      </c>
      <c r="C44" s="23" t="n"/>
      <c r="D44" s="23" t="n"/>
      <c r="E44" s="23" t="n"/>
      <c r="F44" s="23" t="n"/>
      <c r="G44" s="23" t="n"/>
      <c r="H44" s="23" t="n"/>
      <c r="I44" s="23" t="n"/>
      <c r="J44" s="23" t="n"/>
      <c r="K44" s="23" t="n"/>
      <c r="L44" s="23" t="n"/>
      <c r="M44" s="23" t="n"/>
      <c r="N44" s="23" t="n"/>
      <c r="O44" s="23" t="n"/>
      <c r="P44" s="23" t="n"/>
      <c r="Q44" s="23" t="n"/>
    </row>
    <row r="45">
      <c r="A45" s="15" t="inlineStr">
        <is>
          <t>S1-037</t>
        </is>
      </c>
      <c r="B45" s="15" t="inlineStr">
        <is>
          <t>C</t>
        </is>
      </c>
      <c r="C45" s="15" t="inlineStr">
        <is>
          <t>Suitability score</t>
        </is>
      </c>
      <c r="D45" s="15" t="inlineStr">
        <is>
          <t>Plot 1: score on run 1 (App) vs run 2 (Reference)</t>
        </is>
      </c>
      <c r="E45" s="15" t="inlineStr">
        <is>
          <t>score</t>
        </is>
      </c>
      <c r="F45" s="15" t="inlineStr">
        <is>
          <t>Book</t>
        </is>
      </c>
      <c r="G45" s="15" t="inlineStr">
        <is>
          <t>Same app, second run</t>
        </is>
      </c>
      <c r="H45" s="15" t="inlineStr">
        <is>
          <t>Same as correct answer</t>
        </is>
      </c>
      <c r="I45" s="16" t="n"/>
      <c r="J45" s="16" t="n"/>
      <c r="K45" s="16" t="n"/>
      <c r="L45" s="17">
        <f>IF(W45="","",W45)</f>
        <v/>
      </c>
      <c r="M45" s="18">
        <f>IF(O45&lt;&gt;"",O45,Y45)</f>
        <v/>
      </c>
      <c r="N45" s="16" t="n"/>
      <c r="O45" s="19" t="n"/>
      <c r="P45" s="19" t="n"/>
      <c r="Q45" s="19" t="n"/>
      <c r="R45" s="20" t="inlineStr">
        <is>
          <t>—</t>
        </is>
      </c>
      <c r="S45" s="20" t="inlineStr">
        <is>
          <t>n/a</t>
        </is>
      </c>
      <c r="T45" s="20" t="inlineStr">
        <is>
          <t>Exact</t>
        </is>
      </c>
      <c r="U45" s="20" t="n"/>
      <c r="V45" s="20" t="n"/>
      <c r="W45" s="20">
        <f>IF(AND(ISNUMBER(I45),ISNUMBER(J45)),I45-J45,"")</f>
        <v/>
      </c>
      <c r="X45" s="20">
        <f>IF(AND(ISNUMBER(I45),ISNUMBER(J45)),IF(J45=0,"",(I45-J45)/ABS(J45)),"")</f>
        <v/>
      </c>
      <c r="Y45" s="20">
        <f>IF(T45="Advisory","No pass mark",IF(T45="Manual","Claude will check",IF(I45="","Not done yet",IF(T45="Exact",IF(AND(ISNUMBER(I45),ISNUMBER(J45)),IF(ROUND(I45,2)=ROUND(J45,2),"Pass","Fail"),IF(TRIM(LOWER(I45&amp;""))=TRIM(LOWER(J45&amp;"")),"Pass","Fail")),IF(T45="Min",IF(I45&gt;=U45-1E-9,"Pass","Fail"),IF(T45="Between",IF(AND(I45&gt;=U45,I45&lt;=V45),"Pass","Fail"),IF(J45="","Not done yet",IF(T45="±%",IF(X45="","Check correct answer",IF(ABS(X45)*100&lt;=V45+1E-9,"Pass","Fail")),IF(T45="% range",IF(X45="","Check correct answer",IF(AND(X45*100&gt;=U45-1E-9,X45*100&lt;=V45+1E-9),"Pass","Fail")),IF(T45="±abs",IF(ABS(W45)&lt;=V45+1E-9,"Pass","Fail"),"Check type"))))))))))</f>
        <v/>
      </c>
    </row>
    <row r="46">
      <c r="A46" s="15" t="inlineStr">
        <is>
          <t>S1-038</t>
        </is>
      </c>
      <c r="B46" s="15" t="inlineStr">
        <is>
          <t>C</t>
        </is>
      </c>
      <c r="C46" s="15" t="inlineStr">
        <is>
          <t>Suitability score</t>
        </is>
      </c>
      <c r="D46" s="15" t="inlineStr">
        <is>
          <t>Plot 2: score on run 1 (App) vs run 2 (Reference)</t>
        </is>
      </c>
      <c r="E46" s="15" t="inlineStr">
        <is>
          <t>score</t>
        </is>
      </c>
      <c r="F46" s="15" t="inlineStr">
        <is>
          <t>Book</t>
        </is>
      </c>
      <c r="G46" s="15" t="inlineStr">
        <is>
          <t>Same app, second run</t>
        </is>
      </c>
      <c r="H46" s="15" t="inlineStr">
        <is>
          <t>Same as correct answer</t>
        </is>
      </c>
      <c r="I46" s="16" t="n"/>
      <c r="J46" s="16" t="n"/>
      <c r="K46" s="16" t="n"/>
      <c r="L46" s="17">
        <f>IF(W46="","",W46)</f>
        <v/>
      </c>
      <c r="M46" s="18">
        <f>IF(O46&lt;&gt;"",O46,Y46)</f>
        <v/>
      </c>
      <c r="N46" s="16" t="n"/>
      <c r="O46" s="19" t="n"/>
      <c r="P46" s="19" t="n"/>
      <c r="Q46" s="19" t="n"/>
      <c r="R46" s="20" t="inlineStr">
        <is>
          <t>—</t>
        </is>
      </c>
      <c r="S46" s="20" t="inlineStr">
        <is>
          <t>n/a</t>
        </is>
      </c>
      <c r="T46" s="20" t="inlineStr">
        <is>
          <t>Exact</t>
        </is>
      </c>
      <c r="U46" s="20" t="n"/>
      <c r="V46" s="20" t="n"/>
      <c r="W46" s="20">
        <f>IF(AND(ISNUMBER(I46),ISNUMBER(J46)),I46-J46,"")</f>
        <v/>
      </c>
      <c r="X46" s="20">
        <f>IF(AND(ISNUMBER(I46),ISNUMBER(J46)),IF(J46=0,"",(I46-J46)/ABS(J46)),"")</f>
        <v/>
      </c>
      <c r="Y46" s="20">
        <f>IF(T46="Advisory","No pass mark",IF(T46="Manual","Claude will check",IF(I46="","Not done yet",IF(T46="Exact",IF(AND(ISNUMBER(I46),ISNUMBER(J46)),IF(ROUND(I46,2)=ROUND(J46,2),"Pass","Fail"),IF(TRIM(LOWER(I46&amp;""))=TRIM(LOWER(J46&amp;"")),"Pass","Fail")),IF(T46="Min",IF(I46&gt;=U46-1E-9,"Pass","Fail"),IF(T46="Between",IF(AND(I46&gt;=U46,I46&lt;=V46),"Pass","Fail"),IF(J46="","Not done yet",IF(T46="±%",IF(X46="","Check correct answer",IF(ABS(X46)*100&lt;=V46+1E-9,"Pass","Fail")),IF(T46="% range",IF(X46="","Check correct answer",IF(AND(X46*100&gt;=U46-1E-9,X46*100&lt;=V46+1E-9),"Pass","Fail")),IF(T46="±abs",IF(ABS(W46)&lt;=V46+1E-9,"Pass","Fail"),"Check type"))))))))))</f>
        <v/>
      </c>
    </row>
    <row r="47">
      <c r="A47" s="15" t="inlineStr">
        <is>
          <t>S1-039</t>
        </is>
      </c>
      <c r="B47" s="15" t="inlineStr">
        <is>
          <t>C</t>
        </is>
      </c>
      <c r="C47" s="15" t="inlineStr">
        <is>
          <t>Suitability score</t>
        </is>
      </c>
      <c r="D47" s="15" t="inlineStr">
        <is>
          <t>Plot 3: score on run 1 (App) vs run 2 (Reference)</t>
        </is>
      </c>
      <c r="E47" s="15" t="inlineStr">
        <is>
          <t>score</t>
        </is>
      </c>
      <c r="F47" s="15" t="inlineStr">
        <is>
          <t>Book</t>
        </is>
      </c>
      <c r="G47" s="15" t="inlineStr">
        <is>
          <t>Same app, second run</t>
        </is>
      </c>
      <c r="H47" s="15" t="inlineStr">
        <is>
          <t>Same as correct answer</t>
        </is>
      </c>
      <c r="I47" s="16" t="n"/>
      <c r="J47" s="16" t="n"/>
      <c r="K47" s="16" t="n"/>
      <c r="L47" s="17">
        <f>IF(W47="","",W47)</f>
        <v/>
      </c>
      <c r="M47" s="18">
        <f>IF(O47&lt;&gt;"",O47,Y47)</f>
        <v/>
      </c>
      <c r="N47" s="16" t="n"/>
      <c r="O47" s="19" t="n"/>
      <c r="P47" s="19" t="n"/>
      <c r="Q47" s="19" t="n"/>
      <c r="R47" s="20" t="inlineStr">
        <is>
          <t>—</t>
        </is>
      </c>
      <c r="S47" s="20" t="inlineStr">
        <is>
          <t>n/a</t>
        </is>
      </c>
      <c r="T47" s="20" t="inlineStr">
        <is>
          <t>Exact</t>
        </is>
      </c>
      <c r="U47" s="20" t="n"/>
      <c r="V47" s="20" t="n"/>
      <c r="W47" s="20">
        <f>IF(AND(ISNUMBER(I47),ISNUMBER(J47)),I47-J47,"")</f>
        <v/>
      </c>
      <c r="X47" s="20">
        <f>IF(AND(ISNUMBER(I47),ISNUMBER(J47)),IF(J47=0,"",(I47-J47)/ABS(J47)),"")</f>
        <v/>
      </c>
      <c r="Y47" s="20">
        <f>IF(T47="Advisory","No pass mark",IF(T47="Manual","Claude will check",IF(I47="","Not done yet",IF(T47="Exact",IF(AND(ISNUMBER(I47),ISNUMBER(J47)),IF(ROUND(I47,2)=ROUND(J47,2),"Pass","Fail"),IF(TRIM(LOWER(I47&amp;""))=TRIM(LOWER(J47&amp;"")),"Pass","Fail")),IF(T47="Min",IF(I47&gt;=U47-1E-9,"Pass","Fail"),IF(T47="Between",IF(AND(I47&gt;=U47,I47&lt;=V47),"Pass","Fail"),IF(J47="","Not done yet",IF(T47="±%",IF(X47="","Check correct answer",IF(ABS(X47)*100&lt;=V47+1E-9,"Pass","Fail")),IF(T47="% range",IF(X47="","Check correct answer",IF(AND(X47*100&gt;=U47-1E-9,X47*100&lt;=V47+1E-9),"Pass","Fail")),IF(T47="±abs",IF(ABS(W47)&lt;=V47+1E-9,"Pass","Fail"),"Check type"))))))))))</f>
        <v/>
      </c>
    </row>
    <row r="48">
      <c r="A48" s="15" t="inlineStr">
        <is>
          <t>S1-040</t>
        </is>
      </c>
      <c r="B48" s="15" t="inlineStr">
        <is>
          <t>C</t>
        </is>
      </c>
      <c r="C48" s="15" t="inlineStr">
        <is>
          <t>Suitability score</t>
        </is>
      </c>
      <c r="D48" s="15" t="inlineStr">
        <is>
          <t>Plot 4: score on run 1 (App) vs run 2 (Reference)</t>
        </is>
      </c>
      <c r="E48" s="15" t="inlineStr">
        <is>
          <t>score</t>
        </is>
      </c>
      <c r="F48" s="15" t="inlineStr">
        <is>
          <t>Book</t>
        </is>
      </c>
      <c r="G48" s="15" t="inlineStr">
        <is>
          <t>Same app, second run</t>
        </is>
      </c>
      <c r="H48" s="15" t="inlineStr">
        <is>
          <t>Same as correct answer</t>
        </is>
      </c>
      <c r="I48" s="16" t="n"/>
      <c r="J48" s="16" t="n"/>
      <c r="K48" s="16" t="n"/>
      <c r="L48" s="17">
        <f>IF(W48="","",W48)</f>
        <v/>
      </c>
      <c r="M48" s="18">
        <f>IF(O48&lt;&gt;"",O48,Y48)</f>
        <v/>
      </c>
      <c r="N48" s="16" t="n"/>
      <c r="O48" s="19" t="n"/>
      <c r="P48" s="19" t="n"/>
      <c r="Q48" s="19" t="n"/>
      <c r="R48" s="20" t="inlineStr">
        <is>
          <t>—</t>
        </is>
      </c>
      <c r="S48" s="20" t="inlineStr">
        <is>
          <t>n/a</t>
        </is>
      </c>
      <c r="T48" s="20" t="inlineStr">
        <is>
          <t>Exact</t>
        </is>
      </c>
      <c r="U48" s="20" t="n"/>
      <c r="V48" s="20" t="n"/>
      <c r="W48" s="20">
        <f>IF(AND(ISNUMBER(I48),ISNUMBER(J48)),I48-J48,"")</f>
        <v/>
      </c>
      <c r="X48" s="20">
        <f>IF(AND(ISNUMBER(I48),ISNUMBER(J48)),IF(J48=0,"",(I48-J48)/ABS(J48)),"")</f>
        <v/>
      </c>
      <c r="Y48" s="20">
        <f>IF(T48="Advisory","No pass mark",IF(T48="Manual","Claude will check",IF(I48="","Not done yet",IF(T48="Exact",IF(AND(ISNUMBER(I48),ISNUMBER(J48)),IF(ROUND(I48,2)=ROUND(J48,2),"Pass","Fail"),IF(TRIM(LOWER(I48&amp;""))=TRIM(LOWER(J48&amp;"")),"Pass","Fail")),IF(T48="Min",IF(I48&gt;=U48-1E-9,"Pass","Fail"),IF(T48="Between",IF(AND(I48&gt;=U48,I48&lt;=V48),"Pass","Fail"),IF(J48="","Not done yet",IF(T48="±%",IF(X48="","Check correct answer",IF(ABS(X48)*100&lt;=V48+1E-9,"Pass","Fail")),IF(T48="% range",IF(X48="","Check correct answer",IF(AND(X48*100&gt;=U48-1E-9,X48*100&lt;=V48+1E-9),"Pass","Fail")),IF(T48="±abs",IF(ABS(W48)&lt;=V48+1E-9,"Pass","Fail"),"Check type"))))))))))</f>
        <v/>
      </c>
    </row>
    <row r="49">
      <c r="A49" s="15" t="inlineStr">
        <is>
          <t>S1-041</t>
        </is>
      </c>
      <c r="B49" s="15" t="inlineStr">
        <is>
          <t>C</t>
        </is>
      </c>
      <c r="C49" s="15" t="inlineStr">
        <is>
          <t>Suitability score</t>
        </is>
      </c>
      <c r="D49" s="15" t="inlineStr">
        <is>
          <t>Plot 5: score on run 1 (App) vs run 2 (Reference)</t>
        </is>
      </c>
      <c r="E49" s="15" t="inlineStr">
        <is>
          <t>score</t>
        </is>
      </c>
      <c r="F49" s="15" t="inlineStr">
        <is>
          <t>Book</t>
        </is>
      </c>
      <c r="G49" s="15" t="inlineStr">
        <is>
          <t>Same app, second run</t>
        </is>
      </c>
      <c r="H49" s="15" t="inlineStr">
        <is>
          <t>Same as correct answer</t>
        </is>
      </c>
      <c r="I49" s="16" t="n"/>
      <c r="J49" s="16" t="n"/>
      <c r="K49" s="16" t="n"/>
      <c r="L49" s="17">
        <f>IF(W49="","",W49)</f>
        <v/>
      </c>
      <c r="M49" s="18">
        <f>IF(O49&lt;&gt;"",O49,Y49)</f>
        <v/>
      </c>
      <c r="N49" s="16" t="n"/>
      <c r="O49" s="19" t="n"/>
      <c r="P49" s="19" t="n"/>
      <c r="Q49" s="19" t="n"/>
      <c r="R49" s="20" t="inlineStr">
        <is>
          <t>—</t>
        </is>
      </c>
      <c r="S49" s="20" t="inlineStr">
        <is>
          <t>n/a</t>
        </is>
      </c>
      <c r="T49" s="20" t="inlineStr">
        <is>
          <t>Exact</t>
        </is>
      </c>
      <c r="U49" s="20" t="n"/>
      <c r="V49" s="20" t="n"/>
      <c r="W49" s="20">
        <f>IF(AND(ISNUMBER(I49),ISNUMBER(J49)),I49-J49,"")</f>
        <v/>
      </c>
      <c r="X49" s="20">
        <f>IF(AND(ISNUMBER(I49),ISNUMBER(J49)),IF(J49=0,"",(I49-J49)/ABS(J49)),"")</f>
        <v/>
      </c>
      <c r="Y49" s="20">
        <f>IF(T49="Advisory","No pass mark",IF(T49="Manual","Claude will check",IF(I49="","Not done yet",IF(T49="Exact",IF(AND(ISNUMBER(I49),ISNUMBER(J49)),IF(ROUND(I49,2)=ROUND(J49,2),"Pass","Fail"),IF(TRIM(LOWER(I49&amp;""))=TRIM(LOWER(J49&amp;"")),"Pass","Fail")),IF(T49="Min",IF(I49&gt;=U49-1E-9,"Pass","Fail"),IF(T49="Between",IF(AND(I49&gt;=U49,I49&lt;=V49),"Pass","Fail"),IF(J49="","Not done yet",IF(T49="±%",IF(X49="","Check correct answer",IF(ABS(X49)*100&lt;=V49+1E-9,"Pass","Fail")),IF(T49="% range",IF(X49="","Check correct answer",IF(AND(X49*100&gt;=U49-1E-9,X49*100&lt;=V49+1E-9),"Pass","Fail")),IF(T49="±abs",IF(ABS(W49)&lt;=V49+1E-9,"Pass","Fail"),"Check type"))))))))))</f>
        <v/>
      </c>
    </row>
    <row r="50">
      <c r="A50" s="15" t="inlineStr">
        <is>
          <t>S1-042</t>
        </is>
      </c>
      <c r="B50" s="15" t="inlineStr">
        <is>
          <t>C</t>
        </is>
      </c>
      <c r="C50" s="15" t="inlineStr">
        <is>
          <t>Suitability score</t>
        </is>
      </c>
      <c r="D50" s="15" t="inlineStr">
        <is>
          <t>Plot 6: score on run 1 (App) vs run 2 (Reference)</t>
        </is>
      </c>
      <c r="E50" s="15" t="inlineStr">
        <is>
          <t>score</t>
        </is>
      </c>
      <c r="F50" s="15" t="inlineStr">
        <is>
          <t>Book</t>
        </is>
      </c>
      <c r="G50" s="15" t="inlineStr">
        <is>
          <t>Same app, second run</t>
        </is>
      </c>
      <c r="H50" s="15" t="inlineStr">
        <is>
          <t>Same as correct answer</t>
        </is>
      </c>
      <c r="I50" s="16" t="n"/>
      <c r="J50" s="16" t="n"/>
      <c r="K50" s="16" t="n"/>
      <c r="L50" s="17">
        <f>IF(W50="","",W50)</f>
        <v/>
      </c>
      <c r="M50" s="18">
        <f>IF(O50&lt;&gt;"",O50,Y50)</f>
        <v/>
      </c>
      <c r="N50" s="16" t="n"/>
      <c r="O50" s="19" t="n"/>
      <c r="P50" s="19" t="n"/>
      <c r="Q50" s="19" t="n"/>
      <c r="R50" s="20" t="inlineStr">
        <is>
          <t>—</t>
        </is>
      </c>
      <c r="S50" s="20" t="inlineStr">
        <is>
          <t>n/a</t>
        </is>
      </c>
      <c r="T50" s="20" t="inlineStr">
        <is>
          <t>Exact</t>
        </is>
      </c>
      <c r="U50" s="20" t="n"/>
      <c r="V50" s="20" t="n"/>
      <c r="W50" s="20">
        <f>IF(AND(ISNUMBER(I50),ISNUMBER(J50)),I50-J50,"")</f>
        <v/>
      </c>
      <c r="X50" s="20">
        <f>IF(AND(ISNUMBER(I50),ISNUMBER(J50)),IF(J50=0,"",(I50-J50)/ABS(J50)),"")</f>
        <v/>
      </c>
      <c r="Y50" s="20">
        <f>IF(T50="Advisory","No pass mark",IF(T50="Manual","Claude will check",IF(I50="","Not done yet",IF(T50="Exact",IF(AND(ISNUMBER(I50),ISNUMBER(J50)),IF(ROUND(I50,2)=ROUND(J50,2),"Pass","Fail"),IF(TRIM(LOWER(I50&amp;""))=TRIM(LOWER(J50&amp;"")),"Pass","Fail")),IF(T50="Min",IF(I50&gt;=U50-1E-9,"Pass","Fail"),IF(T50="Between",IF(AND(I50&gt;=U50,I50&lt;=V50),"Pass","Fail"),IF(J50="","Not done yet",IF(T50="±%",IF(X50="","Check correct answer",IF(ABS(X50)*100&lt;=V50+1E-9,"Pass","Fail")),IF(T50="% range",IF(X50="","Check correct answer",IF(AND(X50*100&gt;=U50-1E-9,X50*100&lt;=V50+1E-9),"Pass","Fail")),IF(T50="±abs",IF(ABS(W50)&lt;=V50+1E-9,"Pass","Fail"),"Check type"))))))))))</f>
        <v/>
      </c>
    </row>
    <row r="51">
      <c r="A51" s="15" t="inlineStr">
        <is>
          <t>S1-043</t>
        </is>
      </c>
      <c r="B51" s="15" t="inlineStr">
        <is>
          <t>C</t>
        </is>
      </c>
      <c r="C51" s="15" t="inlineStr">
        <is>
          <t>Suitability score</t>
        </is>
      </c>
      <c r="D51" s="15" t="inlineStr">
        <is>
          <t>Plot 7: score on run 1 (App) vs run 2 (Reference)</t>
        </is>
      </c>
      <c r="E51" s="15" t="inlineStr">
        <is>
          <t>score</t>
        </is>
      </c>
      <c r="F51" s="15" t="inlineStr">
        <is>
          <t>Book</t>
        </is>
      </c>
      <c r="G51" s="15" t="inlineStr">
        <is>
          <t>Same app, second run</t>
        </is>
      </c>
      <c r="H51" s="15" t="inlineStr">
        <is>
          <t>Same as correct answer</t>
        </is>
      </c>
      <c r="I51" s="16" t="n"/>
      <c r="J51" s="16" t="n"/>
      <c r="K51" s="16" t="n"/>
      <c r="L51" s="17">
        <f>IF(W51="","",W51)</f>
        <v/>
      </c>
      <c r="M51" s="18">
        <f>IF(O51&lt;&gt;"",O51,Y51)</f>
        <v/>
      </c>
      <c r="N51" s="16" t="n"/>
      <c r="O51" s="19" t="n"/>
      <c r="P51" s="19" t="n"/>
      <c r="Q51" s="19" t="n"/>
      <c r="R51" s="20" t="inlineStr">
        <is>
          <t>—</t>
        </is>
      </c>
      <c r="S51" s="20" t="inlineStr">
        <is>
          <t>n/a</t>
        </is>
      </c>
      <c r="T51" s="20" t="inlineStr">
        <is>
          <t>Exact</t>
        </is>
      </c>
      <c r="U51" s="20" t="n"/>
      <c r="V51" s="20" t="n"/>
      <c r="W51" s="20">
        <f>IF(AND(ISNUMBER(I51),ISNUMBER(J51)),I51-J51,"")</f>
        <v/>
      </c>
      <c r="X51" s="20">
        <f>IF(AND(ISNUMBER(I51),ISNUMBER(J51)),IF(J51=0,"",(I51-J51)/ABS(J51)),"")</f>
        <v/>
      </c>
      <c r="Y51" s="20">
        <f>IF(T51="Advisory","No pass mark",IF(T51="Manual","Claude will check",IF(I51="","Not done yet",IF(T51="Exact",IF(AND(ISNUMBER(I51),ISNUMBER(J51)),IF(ROUND(I51,2)=ROUND(J51,2),"Pass","Fail"),IF(TRIM(LOWER(I51&amp;""))=TRIM(LOWER(J51&amp;"")),"Pass","Fail")),IF(T51="Min",IF(I51&gt;=U51-1E-9,"Pass","Fail"),IF(T51="Between",IF(AND(I51&gt;=U51,I51&lt;=V51),"Pass","Fail"),IF(J51="","Not done yet",IF(T51="±%",IF(X51="","Check correct answer",IF(ABS(X51)*100&lt;=V51+1E-9,"Pass","Fail")),IF(T51="% range",IF(X51="","Check correct answer",IF(AND(X51*100&gt;=U51-1E-9,X51*100&lt;=V51+1E-9),"Pass","Fail")),IF(T51="±abs",IF(ABS(W51)&lt;=V51+1E-9,"Pass","Fail"),"Check type"))))))))))</f>
        <v/>
      </c>
    </row>
    <row r="52">
      <c r="A52" s="15" t="inlineStr">
        <is>
          <t>S1-044</t>
        </is>
      </c>
      <c r="B52" s="15" t="inlineStr">
        <is>
          <t>C</t>
        </is>
      </c>
      <c r="C52" s="15" t="inlineStr">
        <is>
          <t>Suitability score</t>
        </is>
      </c>
      <c r="D52" s="15" t="inlineStr">
        <is>
          <t>Plot 8: score on run 1 (App) vs run 2 (Reference)</t>
        </is>
      </c>
      <c r="E52" s="15" t="inlineStr">
        <is>
          <t>score</t>
        </is>
      </c>
      <c r="F52" s="15" t="inlineStr">
        <is>
          <t>Book</t>
        </is>
      </c>
      <c r="G52" s="15" t="inlineStr">
        <is>
          <t>Same app, second run</t>
        </is>
      </c>
      <c r="H52" s="15" t="inlineStr">
        <is>
          <t>Same as correct answer</t>
        </is>
      </c>
      <c r="I52" s="16" t="n"/>
      <c r="J52" s="16" t="n"/>
      <c r="K52" s="16" t="n"/>
      <c r="L52" s="17">
        <f>IF(W52="","",W52)</f>
        <v/>
      </c>
      <c r="M52" s="18">
        <f>IF(O52&lt;&gt;"",O52,Y52)</f>
        <v/>
      </c>
      <c r="N52" s="16" t="n"/>
      <c r="O52" s="19" t="n"/>
      <c r="P52" s="19" t="n"/>
      <c r="Q52" s="19" t="n"/>
      <c r="R52" s="20" t="inlineStr">
        <is>
          <t>—</t>
        </is>
      </c>
      <c r="S52" s="20" t="inlineStr">
        <is>
          <t>n/a</t>
        </is>
      </c>
      <c r="T52" s="20" t="inlineStr">
        <is>
          <t>Exact</t>
        </is>
      </c>
      <c r="U52" s="20" t="n"/>
      <c r="V52" s="20" t="n"/>
      <c r="W52" s="20">
        <f>IF(AND(ISNUMBER(I52),ISNUMBER(J52)),I52-J52,"")</f>
        <v/>
      </c>
      <c r="X52" s="20">
        <f>IF(AND(ISNUMBER(I52),ISNUMBER(J52)),IF(J52=0,"",(I52-J52)/ABS(J52)),"")</f>
        <v/>
      </c>
      <c r="Y52" s="20">
        <f>IF(T52="Advisory","No pass mark",IF(T52="Manual","Claude will check",IF(I52="","Not done yet",IF(T52="Exact",IF(AND(ISNUMBER(I52),ISNUMBER(J52)),IF(ROUND(I52,2)=ROUND(J52,2),"Pass","Fail"),IF(TRIM(LOWER(I52&amp;""))=TRIM(LOWER(J52&amp;"")),"Pass","Fail")),IF(T52="Min",IF(I52&gt;=U52-1E-9,"Pass","Fail"),IF(T52="Between",IF(AND(I52&gt;=U52,I52&lt;=V52),"Pass","Fail"),IF(J52="","Not done yet",IF(T52="±%",IF(X52="","Check correct answer",IF(ABS(X52)*100&lt;=V52+1E-9,"Pass","Fail")),IF(T52="% range",IF(X52="","Check correct answer",IF(AND(X52*100&gt;=U52-1E-9,X52*100&lt;=V52+1E-9),"Pass","Fail")),IF(T52="±abs",IF(ABS(W52)&lt;=V52+1E-9,"Pass","Fail"),"Check type"))))))))))</f>
        <v/>
      </c>
    </row>
    <row r="53">
      <c r="A53" s="15" t="inlineStr">
        <is>
          <t>S1-045</t>
        </is>
      </c>
      <c r="B53" s="15" t="inlineStr">
        <is>
          <t>C</t>
        </is>
      </c>
      <c r="C53" s="15" t="inlineStr">
        <is>
          <t>Suitability score</t>
        </is>
      </c>
      <c r="D53" s="15" t="inlineStr">
        <is>
          <t>Plot 9: score on run 1 (App) vs run 2 (Reference)</t>
        </is>
      </c>
      <c r="E53" s="15" t="inlineStr">
        <is>
          <t>score</t>
        </is>
      </c>
      <c r="F53" s="15" t="inlineStr">
        <is>
          <t>Book</t>
        </is>
      </c>
      <c r="G53" s="15" t="inlineStr">
        <is>
          <t>Same app, second run</t>
        </is>
      </c>
      <c r="H53" s="15" t="inlineStr">
        <is>
          <t>Same as correct answer</t>
        </is>
      </c>
      <c r="I53" s="16" t="n"/>
      <c r="J53" s="16" t="n"/>
      <c r="K53" s="16" t="n"/>
      <c r="L53" s="17">
        <f>IF(W53="","",W53)</f>
        <v/>
      </c>
      <c r="M53" s="18">
        <f>IF(O53&lt;&gt;"",O53,Y53)</f>
        <v/>
      </c>
      <c r="N53" s="16" t="n"/>
      <c r="O53" s="19" t="n"/>
      <c r="P53" s="19" t="n"/>
      <c r="Q53" s="19" t="n"/>
      <c r="R53" s="20" t="inlineStr">
        <is>
          <t>—</t>
        </is>
      </c>
      <c r="S53" s="20" t="inlineStr">
        <is>
          <t>n/a</t>
        </is>
      </c>
      <c r="T53" s="20" t="inlineStr">
        <is>
          <t>Exact</t>
        </is>
      </c>
      <c r="U53" s="20" t="n"/>
      <c r="V53" s="20" t="n"/>
      <c r="W53" s="20">
        <f>IF(AND(ISNUMBER(I53),ISNUMBER(J53)),I53-J53,"")</f>
        <v/>
      </c>
      <c r="X53" s="20">
        <f>IF(AND(ISNUMBER(I53),ISNUMBER(J53)),IF(J53=0,"",(I53-J53)/ABS(J53)),"")</f>
        <v/>
      </c>
      <c r="Y53" s="20">
        <f>IF(T53="Advisory","No pass mark",IF(T53="Manual","Claude will check",IF(I53="","Not done yet",IF(T53="Exact",IF(AND(ISNUMBER(I53),ISNUMBER(J53)),IF(ROUND(I53,2)=ROUND(J53,2),"Pass","Fail"),IF(TRIM(LOWER(I53&amp;""))=TRIM(LOWER(J53&amp;"")),"Pass","Fail")),IF(T53="Min",IF(I53&gt;=U53-1E-9,"Pass","Fail"),IF(T53="Between",IF(AND(I53&gt;=U53,I53&lt;=V53),"Pass","Fail"),IF(J53="","Not done yet",IF(T53="±%",IF(X53="","Check correct answer",IF(ABS(X53)*100&lt;=V53+1E-9,"Pass","Fail")),IF(T53="% range",IF(X53="","Check correct answer",IF(AND(X53*100&gt;=U53-1E-9,X53*100&lt;=V53+1E-9),"Pass","Fail")),IF(T53="±abs",IF(ABS(W53)&lt;=V53+1E-9,"Pass","Fail"),"Check type"))))))))))</f>
        <v/>
      </c>
    </row>
    <row r="54">
      <c r="A54" s="15" t="inlineStr">
        <is>
          <t>S1-046</t>
        </is>
      </c>
      <c r="B54" s="15" t="inlineStr">
        <is>
          <t>C</t>
        </is>
      </c>
      <c r="C54" s="15" t="inlineStr">
        <is>
          <t>Suitability score</t>
        </is>
      </c>
      <c r="D54" s="15" t="inlineStr">
        <is>
          <t>Plot 10: score on run 1 (App) vs run 2 (Reference)</t>
        </is>
      </c>
      <c r="E54" s="15" t="inlineStr">
        <is>
          <t>score</t>
        </is>
      </c>
      <c r="F54" s="15" t="inlineStr">
        <is>
          <t>Book</t>
        </is>
      </c>
      <c r="G54" s="15" t="inlineStr">
        <is>
          <t>Same app, second run</t>
        </is>
      </c>
      <c r="H54" s="15" t="inlineStr">
        <is>
          <t>Same as correct answer</t>
        </is>
      </c>
      <c r="I54" s="16" t="n"/>
      <c r="J54" s="16" t="n"/>
      <c r="K54" s="16" t="n"/>
      <c r="L54" s="17">
        <f>IF(W54="","",W54)</f>
        <v/>
      </c>
      <c r="M54" s="18">
        <f>IF(O54&lt;&gt;"",O54,Y54)</f>
        <v/>
      </c>
      <c r="N54" s="16" t="n"/>
      <c r="O54" s="19" t="n"/>
      <c r="P54" s="19" t="n"/>
      <c r="Q54" s="19" t="n"/>
      <c r="R54" s="20" t="inlineStr">
        <is>
          <t>—</t>
        </is>
      </c>
      <c r="S54" s="20" t="inlineStr">
        <is>
          <t>n/a</t>
        </is>
      </c>
      <c r="T54" s="20" t="inlineStr">
        <is>
          <t>Exact</t>
        </is>
      </c>
      <c r="U54" s="20" t="n"/>
      <c r="V54" s="20" t="n"/>
      <c r="W54" s="20">
        <f>IF(AND(ISNUMBER(I54),ISNUMBER(J54)),I54-J54,"")</f>
        <v/>
      </c>
      <c r="X54" s="20">
        <f>IF(AND(ISNUMBER(I54),ISNUMBER(J54)),IF(J54=0,"",(I54-J54)/ABS(J54)),"")</f>
        <v/>
      </c>
      <c r="Y54" s="20">
        <f>IF(T54="Advisory","No pass mark",IF(T54="Manual","Claude will check",IF(I54="","Not done yet",IF(T54="Exact",IF(AND(ISNUMBER(I54),ISNUMBER(J54)),IF(ROUND(I54,2)=ROUND(J54,2),"Pass","Fail"),IF(TRIM(LOWER(I54&amp;""))=TRIM(LOWER(J54&amp;"")),"Pass","Fail")),IF(T54="Min",IF(I54&gt;=U54-1E-9,"Pass","Fail"),IF(T54="Between",IF(AND(I54&gt;=U54,I54&lt;=V54),"Pass","Fail"),IF(J54="","Not done yet",IF(T54="±%",IF(X54="","Check correct answer",IF(ABS(X54)*100&lt;=V54+1E-9,"Pass","Fail")),IF(T54="% range",IF(X54="","Check correct answer",IF(AND(X54*100&gt;=U54-1E-9,X54*100&lt;=V54+1E-9),"Pass","Fail")),IF(T54="±abs",IF(ABS(W54)&lt;=V54+1E-9,"Pass","Fail"),"Check type"))))))))))</f>
        <v/>
      </c>
    </row>
    <row r="55">
      <c r="A55" s="15" t="inlineStr">
        <is>
          <t>S1-047</t>
        </is>
      </c>
      <c r="B55" s="15" t="inlineStr">
        <is>
          <t>C</t>
        </is>
      </c>
      <c r="C55" s="15" t="inlineStr">
        <is>
          <t>Suitability score</t>
        </is>
      </c>
      <c r="D55" s="15" t="inlineStr">
        <is>
          <t>Spearman ρ, app ranking vs guide's blind ranking (OPTIONAL)</t>
        </is>
      </c>
      <c r="E55" s="15" t="inlineStr">
        <is>
          <t>ρ</t>
        </is>
      </c>
      <c r="F55" s="15" t="inlineStr">
        <is>
          <t>Real</t>
        </is>
      </c>
      <c r="G55" s="15" t="inlineStr">
        <is>
          <t>Project guide's ranking of the 10 plots</t>
        </is>
      </c>
      <c r="H55" s="15" t="inlineStr">
        <is>
          <t>At least 0.7</t>
        </is>
      </c>
      <c r="I55" s="16" t="n"/>
      <c r="J55" s="16" t="n"/>
      <c r="K55" s="16" t="n"/>
      <c r="L55" s="17">
        <f>IF(W55="","",W55)</f>
        <v/>
      </c>
      <c r="M55" s="18">
        <f>IF(O55&lt;&gt;"",O55,Y55)</f>
        <v/>
      </c>
      <c r="N55" s="16" t="n"/>
      <c r="O55" s="19" t="n"/>
      <c r="P55" s="19" t="n"/>
      <c r="Q55" s="19" t="n"/>
      <c r="R55" s="20" t="inlineStr">
        <is>
          <t>—</t>
        </is>
      </c>
      <c r="S55" s="20" t="inlineStr">
        <is>
          <t>n/a</t>
        </is>
      </c>
      <c r="T55" s="20" t="inlineStr">
        <is>
          <t>Min</t>
        </is>
      </c>
      <c r="U55" s="20" t="n">
        <v>0.7</v>
      </c>
      <c r="V55" s="20" t="n"/>
      <c r="W55" s="20">
        <f>IF(AND(ISNUMBER(I55),ISNUMBER(J55)),I55-J55,"")</f>
        <v/>
      </c>
      <c r="X55" s="20">
        <f>IF(AND(ISNUMBER(I55),ISNUMBER(J55)),IF(J55=0,"",(I55-J55)/ABS(J55)),"")</f>
        <v/>
      </c>
      <c r="Y55" s="20">
        <f>IF(T55="Advisory","No pass mark",IF(T55="Manual","Claude will check",IF(I55="","Not done yet",IF(T55="Exact",IF(AND(ISNUMBER(I55),ISNUMBER(J55)),IF(ROUND(I55,2)=ROUND(J55,2),"Pass","Fail"),IF(TRIM(LOWER(I55&amp;""))=TRIM(LOWER(J55&amp;"")),"Pass","Fail")),IF(T55="Min",IF(I55&gt;=U55-1E-9,"Pass","Fail"),IF(T55="Between",IF(AND(I55&gt;=U55,I55&lt;=V55),"Pass","Fail"),IF(J55="","Not done yet",IF(T55="±%",IF(X55="","Check correct answer",IF(ABS(X55)*100&lt;=V55+1E-9,"Pass","Fail")),IF(T55="% range",IF(X55="","Check correct answer",IF(AND(X55*100&gt;=U55-1E-9,X55*100&lt;=V55+1E-9),"Pass","Fail")),IF(T55="±abs",IF(ABS(W55)&lt;=V55+1E-9,"Pass","Fail"),"Check type"))))))))))</f>
        <v/>
      </c>
    </row>
    <row r="56">
      <c r="A56" s="15" t="inlineStr">
        <is>
          <t>S1-048</t>
        </is>
      </c>
      <c r="B56" s="15" t="inlineStr">
        <is>
          <t>C</t>
        </is>
      </c>
      <c r="C56" s="15" t="inlineStr">
        <is>
          <t>Site PDF report</t>
        </is>
      </c>
      <c r="D56" s="15" t="inlineStr">
        <is>
          <t>Plot 1: numbers in PDF that differ from the screen</t>
        </is>
      </c>
      <c r="E56" s="15" t="inlineStr">
        <is>
          <t>count</t>
        </is>
      </c>
      <c r="F56" s="15" t="inlineStr">
        <is>
          <t>Book</t>
        </is>
      </c>
      <c r="G56" s="15" t="inlineStr">
        <is>
          <t>App screen</t>
        </is>
      </c>
      <c r="H56" s="15" t="inlineStr">
        <is>
          <t>Same as correct answer</t>
        </is>
      </c>
      <c r="I56" s="16" t="n"/>
      <c r="J56" s="16" t="n">
        <v>0</v>
      </c>
      <c r="K56" s="16" t="n"/>
      <c r="L56" s="17">
        <f>IF(W56="","",W56)</f>
        <v/>
      </c>
      <c r="M56" s="18">
        <f>IF(O56&lt;&gt;"",O56,Y56)</f>
        <v/>
      </c>
      <c r="N56" s="16" t="n"/>
      <c r="O56" s="19" t="n"/>
      <c r="P56" s="19" t="n"/>
      <c r="Q56" s="19" t="n"/>
      <c r="R56" s="20" t="inlineStr">
        <is>
          <t>—</t>
        </is>
      </c>
      <c r="S56" s="20" t="inlineStr">
        <is>
          <t>n/a</t>
        </is>
      </c>
      <c r="T56" s="20" t="inlineStr">
        <is>
          <t>Exact</t>
        </is>
      </c>
      <c r="U56" s="20" t="n"/>
      <c r="V56" s="20" t="n"/>
      <c r="W56" s="20">
        <f>IF(AND(ISNUMBER(I56),ISNUMBER(J56)),I56-J56,"")</f>
        <v/>
      </c>
      <c r="X56" s="20">
        <f>IF(AND(ISNUMBER(I56),ISNUMBER(J56)),IF(J56=0,"",(I56-J56)/ABS(J56)),"")</f>
        <v/>
      </c>
      <c r="Y56" s="20">
        <f>IF(T56="Advisory","No pass mark",IF(T56="Manual","Claude will check",IF(I56="","Not done yet",IF(T56="Exact",IF(AND(ISNUMBER(I56),ISNUMBER(J56)),IF(ROUND(I56,2)=ROUND(J56,2),"Pass","Fail"),IF(TRIM(LOWER(I56&amp;""))=TRIM(LOWER(J56&amp;"")),"Pass","Fail")),IF(T56="Min",IF(I56&gt;=U56-1E-9,"Pass","Fail"),IF(T56="Between",IF(AND(I56&gt;=U56,I56&lt;=V56),"Pass","Fail"),IF(J56="","Not done yet",IF(T56="±%",IF(X56="","Check correct answer",IF(ABS(X56)*100&lt;=V56+1E-9,"Pass","Fail")),IF(T56="% range",IF(X56="","Check correct answer",IF(AND(X56*100&gt;=U56-1E-9,X56*100&lt;=V56+1E-9),"Pass","Fail")),IF(T56="±abs",IF(ABS(W56)&lt;=V56+1E-9,"Pass","Fail"),"Check type"))))))))))</f>
        <v/>
      </c>
    </row>
    <row r="57">
      <c r="A57" s="15" t="inlineStr">
        <is>
          <t>S1-049</t>
        </is>
      </c>
      <c r="B57" s="15" t="inlineStr">
        <is>
          <t>C</t>
        </is>
      </c>
      <c r="C57" s="15" t="inlineStr">
        <is>
          <t>Site PDF report</t>
        </is>
      </c>
      <c r="D57" s="15" t="inlineStr">
        <is>
          <t>Plot 2: numbers in PDF that differ from the screen</t>
        </is>
      </c>
      <c r="E57" s="15" t="inlineStr">
        <is>
          <t>count</t>
        </is>
      </c>
      <c r="F57" s="15" t="inlineStr">
        <is>
          <t>Book</t>
        </is>
      </c>
      <c r="G57" s="15" t="inlineStr">
        <is>
          <t>App screen</t>
        </is>
      </c>
      <c r="H57" s="15" t="inlineStr">
        <is>
          <t>Same as correct answer</t>
        </is>
      </c>
      <c r="I57" s="16" t="n"/>
      <c r="J57" s="16" t="n">
        <v>0</v>
      </c>
      <c r="K57" s="16" t="n"/>
      <c r="L57" s="17">
        <f>IF(W57="","",W57)</f>
        <v/>
      </c>
      <c r="M57" s="18">
        <f>IF(O57&lt;&gt;"",O57,Y57)</f>
        <v/>
      </c>
      <c r="N57" s="16" t="n"/>
      <c r="O57" s="19" t="n"/>
      <c r="P57" s="19" t="n"/>
      <c r="Q57" s="19" t="n"/>
      <c r="R57" s="20" t="inlineStr">
        <is>
          <t>—</t>
        </is>
      </c>
      <c r="S57" s="20" t="inlineStr">
        <is>
          <t>n/a</t>
        </is>
      </c>
      <c r="T57" s="20" t="inlineStr">
        <is>
          <t>Exact</t>
        </is>
      </c>
      <c r="U57" s="20" t="n"/>
      <c r="V57" s="20" t="n"/>
      <c r="W57" s="20">
        <f>IF(AND(ISNUMBER(I57),ISNUMBER(J57)),I57-J57,"")</f>
        <v/>
      </c>
      <c r="X57" s="20">
        <f>IF(AND(ISNUMBER(I57),ISNUMBER(J57)),IF(J57=0,"",(I57-J57)/ABS(J57)),"")</f>
        <v/>
      </c>
      <c r="Y57" s="20">
        <f>IF(T57="Advisory","No pass mark",IF(T57="Manual","Claude will check",IF(I57="","Not done yet",IF(T57="Exact",IF(AND(ISNUMBER(I57),ISNUMBER(J57)),IF(ROUND(I57,2)=ROUND(J57,2),"Pass","Fail"),IF(TRIM(LOWER(I57&amp;""))=TRIM(LOWER(J57&amp;"")),"Pass","Fail")),IF(T57="Min",IF(I57&gt;=U57-1E-9,"Pass","Fail"),IF(T57="Between",IF(AND(I57&gt;=U57,I57&lt;=V57),"Pass","Fail"),IF(J57="","Not done yet",IF(T57="±%",IF(X57="","Check correct answer",IF(ABS(X57)*100&lt;=V57+1E-9,"Pass","Fail")),IF(T57="% range",IF(X57="","Check correct answer",IF(AND(X57*100&gt;=U57-1E-9,X57*100&lt;=V57+1E-9),"Pass","Fail")),IF(T57="±abs",IF(ABS(W57)&lt;=V57+1E-9,"Pass","Fail"),"Check type"))))))))))</f>
        <v/>
      </c>
    </row>
    <row r="58">
      <c r="A58" s="15" t="inlineStr">
        <is>
          <t>S1-050</t>
        </is>
      </c>
      <c r="B58" s="15" t="inlineStr">
        <is>
          <t>C</t>
        </is>
      </c>
      <c r="C58" s="15" t="inlineStr">
        <is>
          <t>Site PDF report</t>
        </is>
      </c>
      <c r="D58" s="15" t="inlineStr">
        <is>
          <t>Plot 3: numbers in PDF that differ from the screen</t>
        </is>
      </c>
      <c r="E58" s="15" t="inlineStr">
        <is>
          <t>count</t>
        </is>
      </c>
      <c r="F58" s="15" t="inlineStr">
        <is>
          <t>Book</t>
        </is>
      </c>
      <c r="G58" s="15" t="inlineStr">
        <is>
          <t>App screen</t>
        </is>
      </c>
      <c r="H58" s="15" t="inlineStr">
        <is>
          <t>Same as correct answer</t>
        </is>
      </c>
      <c r="I58" s="16" t="n"/>
      <c r="J58" s="16" t="n">
        <v>0</v>
      </c>
      <c r="K58" s="16" t="n"/>
      <c r="L58" s="17">
        <f>IF(W58="","",W58)</f>
        <v/>
      </c>
      <c r="M58" s="18">
        <f>IF(O58&lt;&gt;"",O58,Y58)</f>
        <v/>
      </c>
      <c r="N58" s="16" t="n"/>
      <c r="O58" s="19" t="n"/>
      <c r="P58" s="19" t="n"/>
      <c r="Q58" s="19" t="n"/>
      <c r="R58" s="20" t="inlineStr">
        <is>
          <t>—</t>
        </is>
      </c>
      <c r="S58" s="20" t="inlineStr">
        <is>
          <t>n/a</t>
        </is>
      </c>
      <c r="T58" s="20" t="inlineStr">
        <is>
          <t>Exact</t>
        </is>
      </c>
      <c r="U58" s="20" t="n"/>
      <c r="V58" s="20" t="n"/>
      <c r="W58" s="20">
        <f>IF(AND(ISNUMBER(I58),ISNUMBER(J58)),I58-J58,"")</f>
        <v/>
      </c>
      <c r="X58" s="20">
        <f>IF(AND(ISNUMBER(I58),ISNUMBER(J58)),IF(J58=0,"",(I58-J58)/ABS(J58)),"")</f>
        <v/>
      </c>
      <c r="Y58" s="20">
        <f>IF(T58="Advisory","No pass mark",IF(T58="Manual","Claude will check",IF(I58="","Not done yet",IF(T58="Exact",IF(AND(ISNUMBER(I58),ISNUMBER(J58)),IF(ROUND(I58,2)=ROUND(J58,2),"Pass","Fail"),IF(TRIM(LOWER(I58&amp;""))=TRIM(LOWER(J58&amp;"")),"Pass","Fail")),IF(T58="Min",IF(I58&gt;=U58-1E-9,"Pass","Fail"),IF(T58="Between",IF(AND(I58&gt;=U58,I58&lt;=V58),"Pass","Fail"),IF(J58="","Not done yet",IF(T58="±%",IF(X58="","Check correct answer",IF(ABS(X58)*100&lt;=V58+1E-9,"Pass","Fail")),IF(T58="% range",IF(X58="","Check correct answer",IF(AND(X58*100&gt;=U58-1E-9,X58*100&lt;=V58+1E-9),"Pass","Fail")),IF(T58="±abs",IF(ABS(W58)&lt;=V58+1E-9,"Pass","Fail"),"Check type"))))))))))</f>
        <v/>
      </c>
    </row>
    <row r="59">
      <c r="A59" s="15" t="inlineStr">
        <is>
          <t>S1-051</t>
        </is>
      </c>
      <c r="B59" s="15" t="inlineStr">
        <is>
          <t>C</t>
        </is>
      </c>
      <c r="C59" s="15" t="inlineStr">
        <is>
          <t>Site PDF report</t>
        </is>
      </c>
      <c r="D59" s="15" t="inlineStr">
        <is>
          <t>Plot 4: numbers in PDF that differ from the screen</t>
        </is>
      </c>
      <c r="E59" s="15" t="inlineStr">
        <is>
          <t>count</t>
        </is>
      </c>
      <c r="F59" s="15" t="inlineStr">
        <is>
          <t>Book</t>
        </is>
      </c>
      <c r="G59" s="15" t="inlineStr">
        <is>
          <t>App screen</t>
        </is>
      </c>
      <c r="H59" s="15" t="inlineStr">
        <is>
          <t>Same as correct answer</t>
        </is>
      </c>
      <c r="I59" s="16" t="n"/>
      <c r="J59" s="16" t="n">
        <v>0</v>
      </c>
      <c r="K59" s="16" t="n"/>
      <c r="L59" s="17">
        <f>IF(W59="","",W59)</f>
        <v/>
      </c>
      <c r="M59" s="18">
        <f>IF(O59&lt;&gt;"",O59,Y59)</f>
        <v/>
      </c>
      <c r="N59" s="16" t="n"/>
      <c r="O59" s="19" t="n"/>
      <c r="P59" s="19" t="n"/>
      <c r="Q59" s="19" t="n"/>
      <c r="R59" s="20" t="inlineStr">
        <is>
          <t>—</t>
        </is>
      </c>
      <c r="S59" s="20" t="inlineStr">
        <is>
          <t>n/a</t>
        </is>
      </c>
      <c r="T59" s="20" t="inlineStr">
        <is>
          <t>Exact</t>
        </is>
      </c>
      <c r="U59" s="20" t="n"/>
      <c r="V59" s="20" t="n"/>
      <c r="W59" s="20">
        <f>IF(AND(ISNUMBER(I59),ISNUMBER(J59)),I59-J59,"")</f>
        <v/>
      </c>
      <c r="X59" s="20">
        <f>IF(AND(ISNUMBER(I59),ISNUMBER(J59)),IF(J59=0,"",(I59-J59)/ABS(J59)),"")</f>
        <v/>
      </c>
      <c r="Y59" s="20">
        <f>IF(T59="Advisory","No pass mark",IF(T59="Manual","Claude will check",IF(I59="","Not done yet",IF(T59="Exact",IF(AND(ISNUMBER(I59),ISNUMBER(J59)),IF(ROUND(I59,2)=ROUND(J59,2),"Pass","Fail"),IF(TRIM(LOWER(I59&amp;""))=TRIM(LOWER(J59&amp;"")),"Pass","Fail")),IF(T59="Min",IF(I59&gt;=U59-1E-9,"Pass","Fail"),IF(T59="Between",IF(AND(I59&gt;=U59,I59&lt;=V59),"Pass","Fail"),IF(J59="","Not done yet",IF(T59="±%",IF(X59="","Check correct answer",IF(ABS(X59)*100&lt;=V59+1E-9,"Pass","Fail")),IF(T59="% range",IF(X59="","Check correct answer",IF(AND(X59*100&gt;=U59-1E-9,X59*100&lt;=V59+1E-9),"Pass","Fail")),IF(T59="±abs",IF(ABS(W59)&lt;=V59+1E-9,"Pass","Fail"),"Check type"))))))))))</f>
        <v/>
      </c>
    </row>
    <row r="60">
      <c r="A60" s="15" t="inlineStr">
        <is>
          <t>S1-052</t>
        </is>
      </c>
      <c r="B60" s="15" t="inlineStr">
        <is>
          <t>C</t>
        </is>
      </c>
      <c r="C60" s="15" t="inlineStr">
        <is>
          <t>Site PDF report</t>
        </is>
      </c>
      <c r="D60" s="15" t="inlineStr">
        <is>
          <t>Plot 5: numbers in PDF that differ from the screen</t>
        </is>
      </c>
      <c r="E60" s="15" t="inlineStr">
        <is>
          <t>count</t>
        </is>
      </c>
      <c r="F60" s="15" t="inlineStr">
        <is>
          <t>Book</t>
        </is>
      </c>
      <c r="G60" s="15" t="inlineStr">
        <is>
          <t>App screen</t>
        </is>
      </c>
      <c r="H60" s="15" t="inlineStr">
        <is>
          <t>Same as correct answer</t>
        </is>
      </c>
      <c r="I60" s="16" t="n"/>
      <c r="J60" s="16" t="n">
        <v>0</v>
      </c>
      <c r="K60" s="16" t="n"/>
      <c r="L60" s="17">
        <f>IF(W60="","",W60)</f>
        <v/>
      </c>
      <c r="M60" s="18">
        <f>IF(O60&lt;&gt;"",O60,Y60)</f>
        <v/>
      </c>
      <c r="N60" s="16" t="n"/>
      <c r="O60" s="19" t="n"/>
      <c r="P60" s="19" t="n"/>
      <c r="Q60" s="19" t="n"/>
      <c r="R60" s="20" t="inlineStr">
        <is>
          <t>—</t>
        </is>
      </c>
      <c r="S60" s="20" t="inlineStr">
        <is>
          <t>n/a</t>
        </is>
      </c>
      <c r="T60" s="20" t="inlineStr">
        <is>
          <t>Exact</t>
        </is>
      </c>
      <c r="U60" s="20" t="n"/>
      <c r="V60" s="20" t="n"/>
      <c r="W60" s="20">
        <f>IF(AND(ISNUMBER(I60),ISNUMBER(J60)),I60-J60,"")</f>
        <v/>
      </c>
      <c r="X60" s="20">
        <f>IF(AND(ISNUMBER(I60),ISNUMBER(J60)),IF(J60=0,"",(I60-J60)/ABS(J60)),"")</f>
        <v/>
      </c>
      <c r="Y60" s="20">
        <f>IF(T60="Advisory","No pass mark",IF(T60="Manual","Claude will check",IF(I60="","Not done yet",IF(T60="Exact",IF(AND(ISNUMBER(I60),ISNUMBER(J60)),IF(ROUND(I60,2)=ROUND(J60,2),"Pass","Fail"),IF(TRIM(LOWER(I60&amp;""))=TRIM(LOWER(J60&amp;"")),"Pass","Fail")),IF(T60="Min",IF(I60&gt;=U60-1E-9,"Pass","Fail"),IF(T60="Between",IF(AND(I60&gt;=U60,I60&lt;=V60),"Pass","Fail"),IF(J60="","Not done yet",IF(T60="±%",IF(X60="","Check correct answer",IF(ABS(X60)*100&lt;=V60+1E-9,"Pass","Fail")),IF(T60="% range",IF(X60="","Check correct answer",IF(AND(X60*100&gt;=U60-1E-9,X60*100&lt;=V60+1E-9),"Pass","Fail")),IF(T60="±abs",IF(ABS(W60)&lt;=V60+1E-9,"Pass","Fail"),"Check type"))))))))))</f>
        <v/>
      </c>
    </row>
    <row r="61">
      <c r="A61" s="15" t="inlineStr">
        <is>
          <t>S1-053</t>
        </is>
      </c>
      <c r="B61" s="15" t="inlineStr">
        <is>
          <t>C</t>
        </is>
      </c>
      <c r="C61" s="15" t="inlineStr">
        <is>
          <t>Site PDF report</t>
        </is>
      </c>
      <c r="D61" s="15" t="inlineStr">
        <is>
          <t>Plot 6: numbers in PDF that differ from the screen</t>
        </is>
      </c>
      <c r="E61" s="15" t="inlineStr">
        <is>
          <t>count</t>
        </is>
      </c>
      <c r="F61" s="15" t="inlineStr">
        <is>
          <t>Book</t>
        </is>
      </c>
      <c r="G61" s="15" t="inlineStr">
        <is>
          <t>App screen</t>
        </is>
      </c>
      <c r="H61" s="15" t="inlineStr">
        <is>
          <t>Same as correct answer</t>
        </is>
      </c>
      <c r="I61" s="16" t="n"/>
      <c r="J61" s="16" t="n">
        <v>0</v>
      </c>
      <c r="K61" s="16" t="n"/>
      <c r="L61" s="17">
        <f>IF(W61="","",W61)</f>
        <v/>
      </c>
      <c r="M61" s="18">
        <f>IF(O61&lt;&gt;"",O61,Y61)</f>
        <v/>
      </c>
      <c r="N61" s="16" t="n"/>
      <c r="O61" s="19" t="n"/>
      <c r="P61" s="19" t="n"/>
      <c r="Q61" s="19" t="n"/>
      <c r="R61" s="20" t="inlineStr">
        <is>
          <t>—</t>
        </is>
      </c>
      <c r="S61" s="20" t="inlineStr">
        <is>
          <t>n/a</t>
        </is>
      </c>
      <c r="T61" s="20" t="inlineStr">
        <is>
          <t>Exact</t>
        </is>
      </c>
      <c r="U61" s="20" t="n"/>
      <c r="V61" s="20" t="n"/>
      <c r="W61" s="20">
        <f>IF(AND(ISNUMBER(I61),ISNUMBER(J61)),I61-J61,"")</f>
        <v/>
      </c>
      <c r="X61" s="20">
        <f>IF(AND(ISNUMBER(I61),ISNUMBER(J61)),IF(J61=0,"",(I61-J61)/ABS(J61)),"")</f>
        <v/>
      </c>
      <c r="Y61" s="20">
        <f>IF(T61="Advisory","No pass mark",IF(T61="Manual","Claude will check",IF(I61="","Not done yet",IF(T61="Exact",IF(AND(ISNUMBER(I61),ISNUMBER(J61)),IF(ROUND(I61,2)=ROUND(J61,2),"Pass","Fail"),IF(TRIM(LOWER(I61&amp;""))=TRIM(LOWER(J61&amp;"")),"Pass","Fail")),IF(T61="Min",IF(I61&gt;=U61-1E-9,"Pass","Fail"),IF(T61="Between",IF(AND(I61&gt;=U61,I61&lt;=V61),"Pass","Fail"),IF(J61="","Not done yet",IF(T61="±%",IF(X61="","Check correct answer",IF(ABS(X61)*100&lt;=V61+1E-9,"Pass","Fail")),IF(T61="% range",IF(X61="","Check correct answer",IF(AND(X61*100&gt;=U61-1E-9,X61*100&lt;=V61+1E-9),"Pass","Fail")),IF(T61="±abs",IF(ABS(W61)&lt;=V61+1E-9,"Pass","Fail"),"Check type"))))))))))</f>
        <v/>
      </c>
    </row>
    <row r="62">
      <c r="A62" s="15" t="inlineStr">
        <is>
          <t>S1-054</t>
        </is>
      </c>
      <c r="B62" s="15" t="inlineStr">
        <is>
          <t>C</t>
        </is>
      </c>
      <c r="C62" s="15" t="inlineStr">
        <is>
          <t>Site PDF report</t>
        </is>
      </c>
      <c r="D62" s="15" t="inlineStr">
        <is>
          <t>Plot 7: numbers in PDF that differ from the screen</t>
        </is>
      </c>
      <c r="E62" s="15" t="inlineStr">
        <is>
          <t>count</t>
        </is>
      </c>
      <c r="F62" s="15" t="inlineStr">
        <is>
          <t>Book</t>
        </is>
      </c>
      <c r="G62" s="15" t="inlineStr">
        <is>
          <t>App screen</t>
        </is>
      </c>
      <c r="H62" s="15" t="inlineStr">
        <is>
          <t>Same as correct answer</t>
        </is>
      </c>
      <c r="I62" s="16" t="n"/>
      <c r="J62" s="16" t="n">
        <v>0</v>
      </c>
      <c r="K62" s="16" t="n"/>
      <c r="L62" s="17">
        <f>IF(W62="","",W62)</f>
        <v/>
      </c>
      <c r="M62" s="18">
        <f>IF(O62&lt;&gt;"",O62,Y62)</f>
        <v/>
      </c>
      <c r="N62" s="16" t="n"/>
      <c r="O62" s="19" t="n"/>
      <c r="P62" s="19" t="n"/>
      <c r="Q62" s="19" t="n"/>
      <c r="R62" s="20" t="inlineStr">
        <is>
          <t>—</t>
        </is>
      </c>
      <c r="S62" s="20" t="inlineStr">
        <is>
          <t>n/a</t>
        </is>
      </c>
      <c r="T62" s="20" t="inlineStr">
        <is>
          <t>Exact</t>
        </is>
      </c>
      <c r="U62" s="20" t="n"/>
      <c r="V62" s="20" t="n"/>
      <c r="W62" s="20">
        <f>IF(AND(ISNUMBER(I62),ISNUMBER(J62)),I62-J62,"")</f>
        <v/>
      </c>
      <c r="X62" s="20">
        <f>IF(AND(ISNUMBER(I62),ISNUMBER(J62)),IF(J62=0,"",(I62-J62)/ABS(J62)),"")</f>
        <v/>
      </c>
      <c r="Y62" s="20">
        <f>IF(T62="Advisory","No pass mark",IF(T62="Manual","Claude will check",IF(I62="","Not done yet",IF(T62="Exact",IF(AND(ISNUMBER(I62),ISNUMBER(J62)),IF(ROUND(I62,2)=ROUND(J62,2),"Pass","Fail"),IF(TRIM(LOWER(I62&amp;""))=TRIM(LOWER(J62&amp;"")),"Pass","Fail")),IF(T62="Min",IF(I62&gt;=U62-1E-9,"Pass","Fail"),IF(T62="Between",IF(AND(I62&gt;=U62,I62&lt;=V62),"Pass","Fail"),IF(J62="","Not done yet",IF(T62="±%",IF(X62="","Check correct answer",IF(ABS(X62)*100&lt;=V62+1E-9,"Pass","Fail")),IF(T62="% range",IF(X62="","Check correct answer",IF(AND(X62*100&gt;=U62-1E-9,X62*100&lt;=V62+1E-9),"Pass","Fail")),IF(T62="±abs",IF(ABS(W62)&lt;=V62+1E-9,"Pass","Fail"),"Check type"))))))))))</f>
        <v/>
      </c>
    </row>
    <row r="63">
      <c r="A63" s="15" t="inlineStr">
        <is>
          <t>S1-055</t>
        </is>
      </c>
      <c r="B63" s="15" t="inlineStr">
        <is>
          <t>C</t>
        </is>
      </c>
      <c r="C63" s="15" t="inlineStr">
        <is>
          <t>Site PDF report</t>
        </is>
      </c>
      <c r="D63" s="15" t="inlineStr">
        <is>
          <t>Plot 8: numbers in PDF that differ from the screen</t>
        </is>
      </c>
      <c r="E63" s="15" t="inlineStr">
        <is>
          <t>count</t>
        </is>
      </c>
      <c r="F63" s="15" t="inlineStr">
        <is>
          <t>Book</t>
        </is>
      </c>
      <c r="G63" s="15" t="inlineStr">
        <is>
          <t>App screen</t>
        </is>
      </c>
      <c r="H63" s="15" t="inlineStr">
        <is>
          <t>Same as correct answer</t>
        </is>
      </c>
      <c r="I63" s="16" t="n"/>
      <c r="J63" s="16" t="n">
        <v>0</v>
      </c>
      <c r="K63" s="16" t="n"/>
      <c r="L63" s="17">
        <f>IF(W63="","",W63)</f>
        <v/>
      </c>
      <c r="M63" s="18">
        <f>IF(O63&lt;&gt;"",O63,Y63)</f>
        <v/>
      </c>
      <c r="N63" s="16" t="n"/>
      <c r="O63" s="19" t="n"/>
      <c r="P63" s="19" t="n"/>
      <c r="Q63" s="19" t="n"/>
      <c r="R63" s="20" t="inlineStr">
        <is>
          <t>—</t>
        </is>
      </c>
      <c r="S63" s="20" t="inlineStr">
        <is>
          <t>n/a</t>
        </is>
      </c>
      <c r="T63" s="20" t="inlineStr">
        <is>
          <t>Exact</t>
        </is>
      </c>
      <c r="U63" s="20" t="n"/>
      <c r="V63" s="20" t="n"/>
      <c r="W63" s="20">
        <f>IF(AND(ISNUMBER(I63),ISNUMBER(J63)),I63-J63,"")</f>
        <v/>
      </c>
      <c r="X63" s="20">
        <f>IF(AND(ISNUMBER(I63),ISNUMBER(J63)),IF(J63=0,"",(I63-J63)/ABS(J63)),"")</f>
        <v/>
      </c>
      <c r="Y63" s="20">
        <f>IF(T63="Advisory","No pass mark",IF(T63="Manual","Claude will check",IF(I63="","Not done yet",IF(T63="Exact",IF(AND(ISNUMBER(I63),ISNUMBER(J63)),IF(ROUND(I63,2)=ROUND(J63,2),"Pass","Fail"),IF(TRIM(LOWER(I63&amp;""))=TRIM(LOWER(J63&amp;"")),"Pass","Fail")),IF(T63="Min",IF(I63&gt;=U63-1E-9,"Pass","Fail"),IF(T63="Between",IF(AND(I63&gt;=U63,I63&lt;=V63),"Pass","Fail"),IF(J63="","Not done yet",IF(T63="±%",IF(X63="","Check correct answer",IF(ABS(X63)*100&lt;=V63+1E-9,"Pass","Fail")),IF(T63="% range",IF(X63="","Check correct answer",IF(AND(X63*100&gt;=U63-1E-9,X63*100&lt;=V63+1E-9),"Pass","Fail")),IF(T63="±abs",IF(ABS(W63)&lt;=V63+1E-9,"Pass","Fail"),"Check type"))))))))))</f>
        <v/>
      </c>
    </row>
    <row r="64">
      <c r="A64" s="15" t="inlineStr">
        <is>
          <t>S1-056</t>
        </is>
      </c>
      <c r="B64" s="15" t="inlineStr">
        <is>
          <t>C</t>
        </is>
      </c>
      <c r="C64" s="15" t="inlineStr">
        <is>
          <t>Site PDF report</t>
        </is>
      </c>
      <c r="D64" s="15" t="inlineStr">
        <is>
          <t>Plot 9: numbers in PDF that differ from the screen</t>
        </is>
      </c>
      <c r="E64" s="15" t="inlineStr">
        <is>
          <t>count</t>
        </is>
      </c>
      <c r="F64" s="15" t="inlineStr">
        <is>
          <t>Book</t>
        </is>
      </c>
      <c r="G64" s="15" t="inlineStr">
        <is>
          <t>App screen</t>
        </is>
      </c>
      <c r="H64" s="15" t="inlineStr">
        <is>
          <t>Same as correct answer</t>
        </is>
      </c>
      <c r="I64" s="16" t="n"/>
      <c r="J64" s="16" t="n">
        <v>0</v>
      </c>
      <c r="K64" s="16" t="n"/>
      <c r="L64" s="17">
        <f>IF(W64="","",W64)</f>
        <v/>
      </c>
      <c r="M64" s="18">
        <f>IF(O64&lt;&gt;"",O64,Y64)</f>
        <v/>
      </c>
      <c r="N64" s="16" t="n"/>
      <c r="O64" s="19" t="n"/>
      <c r="P64" s="19" t="n"/>
      <c r="Q64" s="19" t="n"/>
      <c r="R64" s="20" t="inlineStr">
        <is>
          <t>—</t>
        </is>
      </c>
      <c r="S64" s="20" t="inlineStr">
        <is>
          <t>n/a</t>
        </is>
      </c>
      <c r="T64" s="20" t="inlineStr">
        <is>
          <t>Exact</t>
        </is>
      </c>
      <c r="U64" s="20" t="n"/>
      <c r="V64" s="20" t="n"/>
      <c r="W64" s="20">
        <f>IF(AND(ISNUMBER(I64),ISNUMBER(J64)),I64-J64,"")</f>
        <v/>
      </c>
      <c r="X64" s="20">
        <f>IF(AND(ISNUMBER(I64),ISNUMBER(J64)),IF(J64=0,"",(I64-J64)/ABS(J64)),"")</f>
        <v/>
      </c>
      <c r="Y64" s="20">
        <f>IF(T64="Advisory","No pass mark",IF(T64="Manual","Claude will check",IF(I64="","Not done yet",IF(T64="Exact",IF(AND(ISNUMBER(I64),ISNUMBER(J64)),IF(ROUND(I64,2)=ROUND(J64,2),"Pass","Fail"),IF(TRIM(LOWER(I64&amp;""))=TRIM(LOWER(J64&amp;"")),"Pass","Fail")),IF(T64="Min",IF(I64&gt;=U64-1E-9,"Pass","Fail"),IF(T64="Between",IF(AND(I64&gt;=U64,I64&lt;=V64),"Pass","Fail"),IF(J64="","Not done yet",IF(T64="±%",IF(X64="","Check correct answer",IF(ABS(X64)*100&lt;=V64+1E-9,"Pass","Fail")),IF(T64="% range",IF(X64="","Check correct answer",IF(AND(X64*100&gt;=U64-1E-9,X64*100&lt;=V64+1E-9),"Pass","Fail")),IF(T64="±abs",IF(ABS(W64)&lt;=V64+1E-9,"Pass","Fail"),"Check type"))))))))))</f>
        <v/>
      </c>
    </row>
    <row r="65">
      <c r="A65" s="15" t="inlineStr">
        <is>
          <t>S1-057</t>
        </is>
      </c>
      <c r="B65" s="15" t="inlineStr">
        <is>
          <t>C</t>
        </is>
      </c>
      <c r="C65" s="15" t="inlineStr">
        <is>
          <t>Site PDF report</t>
        </is>
      </c>
      <c r="D65" s="15" t="inlineStr">
        <is>
          <t>Plot 10: numbers in PDF that differ from the screen</t>
        </is>
      </c>
      <c r="E65" s="15" t="inlineStr">
        <is>
          <t>count</t>
        </is>
      </c>
      <c r="F65" s="15" t="inlineStr">
        <is>
          <t>Book</t>
        </is>
      </c>
      <c r="G65" s="15" t="inlineStr">
        <is>
          <t>App screen</t>
        </is>
      </c>
      <c r="H65" s="15" t="inlineStr">
        <is>
          <t>Same as correct answer</t>
        </is>
      </c>
      <c r="I65" s="16" t="n"/>
      <c r="J65" s="16" t="n">
        <v>0</v>
      </c>
      <c r="K65" s="16" t="n"/>
      <c r="L65" s="17">
        <f>IF(W65="","",W65)</f>
        <v/>
      </c>
      <c r="M65" s="18">
        <f>IF(O65&lt;&gt;"",O65,Y65)</f>
        <v/>
      </c>
      <c r="N65" s="16" t="n"/>
      <c r="O65" s="19" t="n"/>
      <c r="P65" s="19" t="n"/>
      <c r="Q65" s="19" t="n"/>
      <c r="R65" s="20" t="inlineStr">
        <is>
          <t>—</t>
        </is>
      </c>
      <c r="S65" s="20" t="inlineStr">
        <is>
          <t>n/a</t>
        </is>
      </c>
      <c r="T65" s="20" t="inlineStr">
        <is>
          <t>Exact</t>
        </is>
      </c>
      <c r="U65" s="20" t="n"/>
      <c r="V65" s="20" t="n"/>
      <c r="W65" s="20">
        <f>IF(AND(ISNUMBER(I65),ISNUMBER(J65)),I65-J65,"")</f>
        <v/>
      </c>
      <c r="X65" s="20">
        <f>IF(AND(ISNUMBER(I65),ISNUMBER(J65)),IF(J65=0,"",(I65-J65)/ABS(J65)),"")</f>
        <v/>
      </c>
      <c r="Y65" s="20">
        <f>IF(T65="Advisory","No pass mark",IF(T65="Manual","Claude will check",IF(I65="","Not done yet",IF(T65="Exact",IF(AND(ISNUMBER(I65),ISNUMBER(J65)),IF(ROUND(I65,2)=ROUND(J65,2),"Pass","Fail"),IF(TRIM(LOWER(I65&amp;""))=TRIM(LOWER(J65&amp;"")),"Pass","Fail")),IF(T65="Min",IF(I65&gt;=U65-1E-9,"Pass","Fail"),IF(T65="Between",IF(AND(I65&gt;=U65,I65&lt;=V65),"Pass","Fail"),IF(J65="","Not done yet",IF(T65="±%",IF(X65="","Check correct answer",IF(ABS(X65)*100&lt;=V65+1E-9,"Pass","Fail")),IF(T65="% range",IF(X65="","Check correct answer",IF(AND(X65*100&gt;=U65-1E-9,X65*100&lt;=V65+1E-9),"Pass","Fail")),IF(T65="±abs",IF(ABS(W65)&lt;=V65+1E-9,"Pass","Fail"),"Check type"))))))))))</f>
        <v/>
      </c>
    </row>
  </sheetData>
  <autoFilter ref="A5:Q65"/>
  <mergeCells count="1">
    <mergeCell ref="A2:N3"/>
  </mergeCells>
  <conditionalFormatting sqref="M6:M165">
    <cfRule type="cellIs" priority="1" operator="equal" dxfId="1">
      <formula>"Pass"</formula>
    </cfRule>
    <cfRule type="cellIs" priority="2" operator="equal" dxfId="2">
      <formula>"Fail"</formula>
    </cfRule>
  </conditionalFormatting>
  <dataValidations count="3">
    <dataValidation sqref="I7 I8 I9 I10 I11 I12 I13 I14 I15 I16 I17 I29 I30 I31 I32 I33 I34 I35 I36 I37 I38" showDropDown="0" showInputMessage="0" showErrorMessage="0" allowBlank="1" type="list">
      <formula1>"Yes,No"</formula1>
    </dataValidation>
    <dataValidation sqref="O6:O165" showDropDown="0" showInputMessage="0" showErrorMessage="0" allowBlank="1" type="list">
      <formula1>"Pass,Fail,Not tested"</formula1>
    </dataValidation>
    <dataValidation sqref="Q6:Q165" showDropDown="0" showInputMessage="0" showErrorMessage="0" allowBlank="1" type="list">
      <formula1>"App bug (our code),We entered wrong input,Measured a different way,Not sure the book/RERA value is right,Limit of the app's method"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0"/>
    <pageSetUpPr/>
  </sheetPr>
  <dimension ref="A1:Y9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8" customWidth="1" min="3" max="3"/>
    <col width="46" customWidth="1" min="4" max="4"/>
    <col width="10" customWidth="1" min="5" max="5"/>
    <col width="8" customWidth="1" min="6" max="6"/>
    <col width="30" customWidth="1" min="7" max="7"/>
    <col width="24" customWidth="1" min="8" max="8"/>
    <col width="13" customWidth="1" min="9" max="9"/>
    <col width="13" customWidth="1" min="10" max="10"/>
    <col width="28" customWidth="1" min="11" max="11"/>
    <col width="10" customWidth="1" min="12" max="12"/>
    <col width="13" customWidth="1" min="13" max="13"/>
    <col width="30" customWidth="1" min="14" max="14"/>
    <col width="11" customWidth="1" min="15" max="15"/>
    <col width="11" customWidth="1" min="16" max="16"/>
    <col width="18" customWidth="1" min="17" max="17"/>
    <col hidden="1" outlineLevel="1" width="24" customWidth="1" min="18" max="25"/>
  </cols>
  <sheetData>
    <row r="1">
      <c r="A1" s="4" t="inlineStr">
        <is>
          <t>Stage 2 Design (weeks 3 to 4)</t>
        </is>
      </c>
    </row>
    <row r="2" ht="22" customHeight="1">
      <c r="A2" s="10" t="inlineStr">
        <is>
          <t>HOW TO FILL:  1) Find your letter.  2) Run the test in the app and type its answer in App answer.  3) Type the correct answer from the book or RERA in Correct answer (some are already filled).  4) Write where you got it.  5) Result fills itself. Don't change grey cells.</t>
        </is>
      </c>
    </row>
    <row r="3" ht="22" customHeight="1"/>
    <row r="4">
      <c r="A4" s="11" t="inlineStr">
        <is>
          <t>Yellow = you fill  ·  Grey = fixed plan, don't change  ·  Blue = Claude fills  ·  Click + above column R to see technical details</t>
        </is>
      </c>
    </row>
    <row r="5" ht="42" customHeight="1">
      <c r="A5" s="6" t="inlineStr">
        <is>
          <t>#</t>
        </is>
      </c>
      <c r="B5" s="6" t="inlineStr">
        <is>
          <t>Who</t>
        </is>
      </c>
      <c r="C5" s="6" t="inlineStr">
        <is>
          <t>Topic</t>
        </is>
      </c>
      <c r="D5" s="6" t="inlineStr">
        <is>
          <t>What to test</t>
        </is>
      </c>
      <c r="E5" s="6" t="inlineStr">
        <is>
          <t>Unit</t>
        </is>
      </c>
      <c r="F5" s="6" t="inlineStr">
        <is>
          <t>Type</t>
        </is>
      </c>
      <c r="G5" s="6" t="inlineStr">
        <is>
          <t>Compare with</t>
        </is>
      </c>
      <c r="H5" s="6" t="inlineStr">
        <is>
          <t>Pass if</t>
        </is>
      </c>
      <c r="I5" s="6" t="inlineStr">
        <is>
          <t>App answer</t>
        </is>
      </c>
      <c r="J5" s="6" t="inlineStr">
        <is>
          <t>Correct answer</t>
        </is>
      </c>
      <c r="K5" s="6" t="inlineStr">
        <is>
          <t>Where you got it (book + page, or RERA no.)</t>
        </is>
      </c>
      <c r="L5" s="6" t="inlineStr">
        <is>
          <t>Off by</t>
        </is>
      </c>
      <c r="M5" s="6" t="inlineStr">
        <is>
          <t>Result</t>
        </is>
      </c>
      <c r="N5" s="6" t="inlineStr">
        <is>
          <t>Notes</t>
        </is>
      </c>
      <c r="O5" s="12" t="inlineStr">
        <is>
          <t>Claude: override</t>
        </is>
      </c>
      <c r="P5" s="12" t="inlineStr">
        <is>
          <t>Claude: first-run result</t>
        </is>
      </c>
      <c r="Q5" s="12" t="inlineStr">
        <is>
          <t>Claude: why it failed</t>
        </is>
      </c>
      <c r="R5" s="6" t="inlineStr">
        <is>
          <t>Code / clause</t>
        </is>
      </c>
      <c r="S5" s="6" t="inlineStr">
        <is>
          <t>Edition</t>
        </is>
      </c>
      <c r="T5" s="6" t="inlineStr">
        <is>
          <t>Tol type</t>
        </is>
      </c>
      <c r="U5" s="6" t="inlineStr">
        <is>
          <t>Tol low</t>
        </is>
      </c>
      <c r="V5" s="6" t="inlineStr">
        <is>
          <t>Tol high</t>
        </is>
      </c>
      <c r="W5" s="6" t="inlineStr">
        <is>
          <t>Difference</t>
        </is>
      </c>
      <c r="X5" s="6" t="inlineStr">
        <is>
          <t>Error %</t>
        </is>
      </c>
      <c r="Y5" s="6" t="inlineStr">
        <is>
          <t>Auto result</t>
        </is>
      </c>
    </row>
    <row r="6">
      <c r="A6" s="13" t="n"/>
      <c r="B6" s="14" t="inlineStr">
        <is>
          <t>A's tests (57)</t>
        </is>
      </c>
      <c r="C6" s="13" t="n"/>
      <c r="D6" s="13" t="n"/>
      <c r="E6" s="13" t="n"/>
      <c r="F6" s="13" t="n"/>
      <c r="G6" s="13" t="n"/>
      <c r="H6" s="13" t="n"/>
      <c r="I6" s="13" t="n"/>
      <c r="J6" s="13" t="n"/>
      <c r="K6" s="13" t="n"/>
      <c r="L6" s="13" t="n"/>
      <c r="M6" s="13" t="n"/>
      <c r="N6" s="13" t="n"/>
      <c r="O6" s="13" t="n"/>
      <c r="P6" s="13" t="n"/>
      <c r="Q6" s="13" t="n"/>
    </row>
    <row r="7">
      <c r="A7" s="15" t="inlineStr">
        <is>
          <t>S2-001</t>
        </is>
      </c>
      <c r="B7" s="15" t="inlineStr">
        <is>
          <t>A</t>
        </is>
      </c>
      <c r="C7" s="15" t="inlineStr">
        <is>
          <t>Areas</t>
        </is>
      </c>
      <c r="D7" s="15" t="inlineStr">
        <is>
          <t>Hand unit U1: carpet area</t>
        </is>
      </c>
      <c r="E7" s="15" t="inlineStr">
        <is>
          <t>m²</t>
        </is>
      </c>
      <c r="F7" s="15" t="inlineStr">
        <is>
          <t>Book</t>
        </is>
      </c>
      <c r="G7" s="15" t="inlineStr">
        <is>
          <t>Unit drawn by hand with known areas</t>
        </is>
      </c>
      <c r="H7" s="15" t="inlineStr">
        <is>
          <t>Within 2% of correct answer</t>
        </is>
      </c>
      <c r="I7" s="16" t="n"/>
      <c r="J7" s="16" t="n"/>
      <c r="K7" s="16" t="n"/>
      <c r="L7" s="25">
        <f>IF(X7="","",X7)</f>
        <v/>
      </c>
      <c r="M7" s="18">
        <f>IF(O7&lt;&gt;"",O7,Y7)</f>
        <v/>
      </c>
      <c r="N7" s="16" t="n"/>
      <c r="O7" s="19" t="n"/>
      <c r="P7" s="19" t="n"/>
      <c r="Q7" s="19" t="n"/>
      <c r="R7" s="20" t="inlineStr">
        <is>
          <t>RERA Act 2016 Sec. 2(k) (carpet)</t>
        </is>
      </c>
      <c r="S7" s="20" t="inlineStr">
        <is>
          <t>n/a</t>
        </is>
      </c>
      <c r="T7" s="20" t="inlineStr">
        <is>
          <t>±%</t>
        </is>
      </c>
      <c r="U7" s="20" t="n"/>
      <c r="V7" s="20" t="n">
        <v>2</v>
      </c>
      <c r="W7" s="20">
        <f>IF(AND(ISNUMBER(I7),ISNUMBER(J7)),I7-J7,"")</f>
        <v/>
      </c>
      <c r="X7" s="20">
        <f>IF(AND(ISNUMBER(I7),ISNUMBER(J7)),IF(J7=0,"",(I7-J7)/ABS(J7)),"")</f>
        <v/>
      </c>
      <c r="Y7" s="20">
        <f>IF(T7="Advisory","No pass mark",IF(T7="Manual","Claude will check",IF(I7="","Not done yet",IF(T7="Exact",IF(AND(ISNUMBER(I7),ISNUMBER(J7)),IF(ROUND(I7,2)=ROUND(J7,2),"Pass","Fail"),IF(TRIM(LOWER(I7&amp;""))=TRIM(LOWER(J7&amp;"")),"Pass","Fail")),IF(T7="Min",IF(I7&gt;=U7-1E-9,"Pass","Fail"),IF(T7="Between",IF(AND(I7&gt;=U7,I7&lt;=V7),"Pass","Fail"),IF(J7="","Not done yet",IF(T7="±%",IF(X7="","Check correct answer",IF(ABS(X7)*100&lt;=V7+1E-9,"Pass","Fail")),IF(T7="% range",IF(X7="","Check correct answer",IF(AND(X7*100&gt;=U7-1E-9,X7*100&lt;=V7+1E-9),"Pass","Fail")),IF(T7="±abs",IF(ABS(W7)&lt;=V7+1E-9,"Pass","Fail"),"Check type"))))))))))</f>
        <v/>
      </c>
    </row>
    <row r="8">
      <c r="A8" s="15" t="inlineStr">
        <is>
          <t>S2-002</t>
        </is>
      </c>
      <c r="B8" s="15" t="inlineStr">
        <is>
          <t>A</t>
        </is>
      </c>
      <c r="C8" s="15" t="inlineStr">
        <is>
          <t>Areas</t>
        </is>
      </c>
      <c r="D8" s="15" t="inlineStr">
        <is>
          <t>Hand unit U1: built-up area</t>
        </is>
      </c>
      <c r="E8" s="15" t="inlineStr">
        <is>
          <t>m²</t>
        </is>
      </c>
      <c r="F8" s="15" t="inlineStr">
        <is>
          <t>Book</t>
        </is>
      </c>
      <c r="G8" s="15" t="inlineStr">
        <is>
          <t>Unit drawn by hand with known areas</t>
        </is>
      </c>
      <c r="H8" s="15" t="inlineStr">
        <is>
          <t>Within 2% of correct answer</t>
        </is>
      </c>
      <c r="I8" s="16" t="n"/>
      <c r="J8" s="16" t="n"/>
      <c r="K8" s="16" t="n"/>
      <c r="L8" s="25">
        <f>IF(X8="","",X8)</f>
        <v/>
      </c>
      <c r="M8" s="18">
        <f>IF(O8&lt;&gt;"",O8,Y8)</f>
        <v/>
      </c>
      <c r="N8" s="16" t="n"/>
      <c r="O8" s="19" t="n"/>
      <c r="P8" s="19" t="n"/>
      <c r="Q8" s="19" t="n"/>
      <c r="R8" s="20" t="inlineStr">
        <is>
          <t>RERA Act 2016 Sec. 2(k) (carpet)</t>
        </is>
      </c>
      <c r="S8" s="20" t="inlineStr">
        <is>
          <t>n/a</t>
        </is>
      </c>
      <c r="T8" s="20" t="inlineStr">
        <is>
          <t>±%</t>
        </is>
      </c>
      <c r="U8" s="20" t="n"/>
      <c r="V8" s="20" t="n">
        <v>2</v>
      </c>
      <c r="W8" s="20">
        <f>IF(AND(ISNUMBER(I8),ISNUMBER(J8)),I8-J8,"")</f>
        <v/>
      </c>
      <c r="X8" s="20">
        <f>IF(AND(ISNUMBER(I8),ISNUMBER(J8)),IF(J8=0,"",(I8-J8)/ABS(J8)),"")</f>
        <v/>
      </c>
      <c r="Y8" s="20">
        <f>IF(T8="Advisory","No pass mark",IF(T8="Manual","Claude will check",IF(I8="","Not done yet",IF(T8="Exact",IF(AND(ISNUMBER(I8),ISNUMBER(J8)),IF(ROUND(I8,2)=ROUND(J8,2),"Pass","Fail"),IF(TRIM(LOWER(I8&amp;""))=TRIM(LOWER(J8&amp;"")),"Pass","Fail")),IF(T8="Min",IF(I8&gt;=U8-1E-9,"Pass","Fail"),IF(T8="Between",IF(AND(I8&gt;=U8,I8&lt;=V8),"Pass","Fail"),IF(J8="","Not done yet",IF(T8="±%",IF(X8="","Check correct answer",IF(ABS(X8)*100&lt;=V8+1E-9,"Pass","Fail")),IF(T8="% range",IF(X8="","Check correct answer",IF(AND(X8*100&gt;=U8-1E-9,X8*100&lt;=V8+1E-9),"Pass","Fail")),IF(T8="±abs",IF(ABS(W8)&lt;=V8+1E-9,"Pass","Fail"),"Check type"))))))))))</f>
        <v/>
      </c>
    </row>
    <row r="9">
      <c r="A9" s="15" t="inlineStr">
        <is>
          <t>S2-003</t>
        </is>
      </c>
      <c r="B9" s="15" t="inlineStr">
        <is>
          <t>A</t>
        </is>
      </c>
      <c r="C9" s="15" t="inlineStr">
        <is>
          <t>Areas</t>
        </is>
      </c>
      <c r="D9" s="15" t="inlineStr">
        <is>
          <t>Hand unit U1: super built-up area</t>
        </is>
      </c>
      <c r="E9" s="15" t="inlineStr">
        <is>
          <t>m²</t>
        </is>
      </c>
      <c r="F9" s="15" t="inlineStr">
        <is>
          <t>Book</t>
        </is>
      </c>
      <c r="G9" s="15" t="inlineStr">
        <is>
          <t>Unit drawn by hand with known areas</t>
        </is>
      </c>
      <c r="H9" s="15" t="inlineStr">
        <is>
          <t>Within 2% of correct answer</t>
        </is>
      </c>
      <c r="I9" s="16" t="n"/>
      <c r="J9" s="16" t="n"/>
      <c r="K9" s="16" t="n"/>
      <c r="L9" s="25">
        <f>IF(X9="","",X9)</f>
        <v/>
      </c>
      <c r="M9" s="18">
        <f>IF(O9&lt;&gt;"",O9,Y9)</f>
        <v/>
      </c>
      <c r="N9" s="16" t="n"/>
      <c r="O9" s="19" t="n"/>
      <c r="P9" s="19" t="n"/>
      <c r="Q9" s="19" t="n"/>
      <c r="R9" s="20" t="inlineStr">
        <is>
          <t>RERA Act 2016 Sec. 2(k) (carpet)</t>
        </is>
      </c>
      <c r="S9" s="20" t="inlineStr">
        <is>
          <t>n/a</t>
        </is>
      </c>
      <c r="T9" s="20" t="inlineStr">
        <is>
          <t>±%</t>
        </is>
      </c>
      <c r="U9" s="20" t="n"/>
      <c r="V9" s="20" t="n">
        <v>2</v>
      </c>
      <c r="W9" s="20">
        <f>IF(AND(ISNUMBER(I9),ISNUMBER(J9)),I9-J9,"")</f>
        <v/>
      </c>
      <c r="X9" s="20">
        <f>IF(AND(ISNUMBER(I9),ISNUMBER(J9)),IF(J9=0,"",(I9-J9)/ABS(J9)),"")</f>
        <v/>
      </c>
      <c r="Y9" s="20">
        <f>IF(T9="Advisory","No pass mark",IF(T9="Manual","Claude will check",IF(I9="","Not done yet",IF(T9="Exact",IF(AND(ISNUMBER(I9),ISNUMBER(J9)),IF(ROUND(I9,2)=ROUND(J9,2),"Pass","Fail"),IF(TRIM(LOWER(I9&amp;""))=TRIM(LOWER(J9&amp;"")),"Pass","Fail")),IF(T9="Min",IF(I9&gt;=U9-1E-9,"Pass","Fail"),IF(T9="Between",IF(AND(I9&gt;=U9,I9&lt;=V9),"Pass","Fail"),IF(J9="","Not done yet",IF(T9="±%",IF(X9="","Check correct answer",IF(ABS(X9)*100&lt;=V9+1E-9,"Pass","Fail")),IF(T9="% range",IF(X9="","Check correct answer",IF(AND(X9*100&gt;=U9-1E-9,X9*100&lt;=V9+1E-9),"Pass","Fail")),IF(T9="±abs",IF(ABS(W9)&lt;=V9+1E-9,"Pass","Fail"),"Check type"))))))))))</f>
        <v/>
      </c>
    </row>
    <row r="10">
      <c r="A10" s="15" t="inlineStr">
        <is>
          <t>S2-004</t>
        </is>
      </c>
      <c r="B10" s="15" t="inlineStr">
        <is>
          <t>A</t>
        </is>
      </c>
      <c r="C10" s="15" t="inlineStr">
        <is>
          <t>Areas</t>
        </is>
      </c>
      <c r="D10" s="15" t="inlineStr">
        <is>
          <t>Hand unit U2: carpet area</t>
        </is>
      </c>
      <c r="E10" s="15" t="inlineStr">
        <is>
          <t>m²</t>
        </is>
      </c>
      <c r="F10" s="15" t="inlineStr">
        <is>
          <t>Book</t>
        </is>
      </c>
      <c r="G10" s="15" t="inlineStr">
        <is>
          <t>Unit drawn by hand with known areas</t>
        </is>
      </c>
      <c r="H10" s="15" t="inlineStr">
        <is>
          <t>Within 2% of correct answer</t>
        </is>
      </c>
      <c r="I10" s="16" t="n"/>
      <c r="J10" s="16" t="n"/>
      <c r="K10" s="16" t="n"/>
      <c r="L10" s="25">
        <f>IF(X10="","",X10)</f>
        <v/>
      </c>
      <c r="M10" s="18">
        <f>IF(O10&lt;&gt;"",O10,Y10)</f>
        <v/>
      </c>
      <c r="N10" s="16" t="n"/>
      <c r="O10" s="19" t="n"/>
      <c r="P10" s="19" t="n"/>
      <c r="Q10" s="19" t="n"/>
      <c r="R10" s="20" t="inlineStr">
        <is>
          <t>RERA Act 2016 Sec. 2(k) (carpet)</t>
        </is>
      </c>
      <c r="S10" s="20" t="inlineStr">
        <is>
          <t>n/a</t>
        </is>
      </c>
      <c r="T10" s="20" t="inlineStr">
        <is>
          <t>±%</t>
        </is>
      </c>
      <c r="U10" s="20" t="n"/>
      <c r="V10" s="20" t="n">
        <v>2</v>
      </c>
      <c r="W10" s="20">
        <f>IF(AND(ISNUMBER(I10),ISNUMBER(J10)),I10-J10,"")</f>
        <v/>
      </c>
      <c r="X10" s="20">
        <f>IF(AND(ISNUMBER(I10),ISNUMBER(J10)),IF(J10=0,"",(I10-J10)/ABS(J10)),"")</f>
        <v/>
      </c>
      <c r="Y10" s="20">
        <f>IF(T10="Advisory","No pass mark",IF(T10="Manual","Claude will check",IF(I10="","Not done yet",IF(T10="Exact",IF(AND(ISNUMBER(I10),ISNUMBER(J10)),IF(ROUND(I10,2)=ROUND(J10,2),"Pass","Fail"),IF(TRIM(LOWER(I10&amp;""))=TRIM(LOWER(J10&amp;"")),"Pass","Fail")),IF(T10="Min",IF(I10&gt;=U10-1E-9,"Pass","Fail"),IF(T10="Between",IF(AND(I10&gt;=U10,I10&lt;=V10),"Pass","Fail"),IF(J10="","Not done yet",IF(T10="±%",IF(X10="","Check correct answer",IF(ABS(X10)*100&lt;=V10+1E-9,"Pass","Fail")),IF(T10="% range",IF(X10="","Check correct answer",IF(AND(X10*100&gt;=U10-1E-9,X10*100&lt;=V10+1E-9),"Pass","Fail")),IF(T10="±abs",IF(ABS(W10)&lt;=V10+1E-9,"Pass","Fail"),"Check type"))))))))))</f>
        <v/>
      </c>
    </row>
    <row r="11">
      <c r="A11" s="15" t="inlineStr">
        <is>
          <t>S2-005</t>
        </is>
      </c>
      <c r="B11" s="15" t="inlineStr">
        <is>
          <t>A</t>
        </is>
      </c>
      <c r="C11" s="15" t="inlineStr">
        <is>
          <t>Areas</t>
        </is>
      </c>
      <c r="D11" s="15" t="inlineStr">
        <is>
          <t>Hand unit U2: built-up area</t>
        </is>
      </c>
      <c r="E11" s="15" t="inlineStr">
        <is>
          <t>m²</t>
        </is>
      </c>
      <c r="F11" s="15" t="inlineStr">
        <is>
          <t>Book</t>
        </is>
      </c>
      <c r="G11" s="15" t="inlineStr">
        <is>
          <t>Unit drawn by hand with known areas</t>
        </is>
      </c>
      <c r="H11" s="15" t="inlineStr">
        <is>
          <t>Within 2% of correct answer</t>
        </is>
      </c>
      <c r="I11" s="16" t="n"/>
      <c r="J11" s="16" t="n"/>
      <c r="K11" s="16" t="n"/>
      <c r="L11" s="25">
        <f>IF(X11="","",X11)</f>
        <v/>
      </c>
      <c r="M11" s="18">
        <f>IF(O11&lt;&gt;"",O11,Y11)</f>
        <v/>
      </c>
      <c r="N11" s="16" t="n"/>
      <c r="O11" s="19" t="n"/>
      <c r="P11" s="19" t="n"/>
      <c r="Q11" s="19" t="n"/>
      <c r="R11" s="20" t="inlineStr">
        <is>
          <t>RERA Act 2016 Sec. 2(k) (carpet)</t>
        </is>
      </c>
      <c r="S11" s="20" t="inlineStr">
        <is>
          <t>n/a</t>
        </is>
      </c>
      <c r="T11" s="20" t="inlineStr">
        <is>
          <t>±%</t>
        </is>
      </c>
      <c r="U11" s="20" t="n"/>
      <c r="V11" s="20" t="n">
        <v>2</v>
      </c>
      <c r="W11" s="20">
        <f>IF(AND(ISNUMBER(I11),ISNUMBER(J11)),I11-J11,"")</f>
        <v/>
      </c>
      <c r="X11" s="20">
        <f>IF(AND(ISNUMBER(I11),ISNUMBER(J11)),IF(J11=0,"",(I11-J11)/ABS(J11)),"")</f>
        <v/>
      </c>
      <c r="Y11" s="20">
        <f>IF(T11="Advisory","No pass mark",IF(T11="Manual","Claude will check",IF(I11="","Not done yet",IF(T11="Exact",IF(AND(ISNUMBER(I11),ISNUMBER(J11)),IF(ROUND(I11,2)=ROUND(J11,2),"Pass","Fail"),IF(TRIM(LOWER(I11&amp;""))=TRIM(LOWER(J11&amp;"")),"Pass","Fail")),IF(T11="Min",IF(I11&gt;=U11-1E-9,"Pass","Fail"),IF(T11="Between",IF(AND(I11&gt;=U11,I11&lt;=V11),"Pass","Fail"),IF(J11="","Not done yet",IF(T11="±%",IF(X11="","Check correct answer",IF(ABS(X11)*100&lt;=V11+1E-9,"Pass","Fail")),IF(T11="% range",IF(X11="","Check correct answer",IF(AND(X11*100&gt;=U11-1E-9,X11*100&lt;=V11+1E-9),"Pass","Fail")),IF(T11="±abs",IF(ABS(W11)&lt;=V11+1E-9,"Pass","Fail"),"Check type"))))))))))</f>
        <v/>
      </c>
    </row>
    <row r="12">
      <c r="A12" s="15" t="inlineStr">
        <is>
          <t>S2-006</t>
        </is>
      </c>
      <c r="B12" s="15" t="inlineStr">
        <is>
          <t>A</t>
        </is>
      </c>
      <c r="C12" s="15" t="inlineStr">
        <is>
          <t>Areas</t>
        </is>
      </c>
      <c r="D12" s="15" t="inlineStr">
        <is>
          <t>Hand unit U2: super built-up area</t>
        </is>
      </c>
      <c r="E12" s="15" t="inlineStr">
        <is>
          <t>m²</t>
        </is>
      </c>
      <c r="F12" s="15" t="inlineStr">
        <is>
          <t>Book</t>
        </is>
      </c>
      <c r="G12" s="15" t="inlineStr">
        <is>
          <t>Unit drawn by hand with known areas</t>
        </is>
      </c>
      <c r="H12" s="15" t="inlineStr">
        <is>
          <t>Within 2% of correct answer</t>
        </is>
      </c>
      <c r="I12" s="16" t="n"/>
      <c r="J12" s="16" t="n"/>
      <c r="K12" s="16" t="n"/>
      <c r="L12" s="25">
        <f>IF(X12="","",X12)</f>
        <v/>
      </c>
      <c r="M12" s="18">
        <f>IF(O12&lt;&gt;"",O12,Y12)</f>
        <v/>
      </c>
      <c r="N12" s="16" t="n"/>
      <c r="O12" s="19" t="n"/>
      <c r="P12" s="19" t="n"/>
      <c r="Q12" s="19" t="n"/>
      <c r="R12" s="20" t="inlineStr">
        <is>
          <t>RERA Act 2016 Sec. 2(k) (carpet)</t>
        </is>
      </c>
      <c r="S12" s="20" t="inlineStr">
        <is>
          <t>n/a</t>
        </is>
      </c>
      <c r="T12" s="20" t="inlineStr">
        <is>
          <t>±%</t>
        </is>
      </c>
      <c r="U12" s="20" t="n"/>
      <c r="V12" s="20" t="n">
        <v>2</v>
      </c>
      <c r="W12" s="20">
        <f>IF(AND(ISNUMBER(I12),ISNUMBER(J12)),I12-J12,"")</f>
        <v/>
      </c>
      <c r="X12" s="20">
        <f>IF(AND(ISNUMBER(I12),ISNUMBER(J12)),IF(J12=0,"",(I12-J12)/ABS(J12)),"")</f>
        <v/>
      </c>
      <c r="Y12" s="20">
        <f>IF(T12="Advisory","No pass mark",IF(T12="Manual","Claude will check",IF(I12="","Not done yet",IF(T12="Exact",IF(AND(ISNUMBER(I12),ISNUMBER(J12)),IF(ROUND(I12,2)=ROUND(J12,2),"Pass","Fail"),IF(TRIM(LOWER(I12&amp;""))=TRIM(LOWER(J12&amp;"")),"Pass","Fail")),IF(T12="Min",IF(I12&gt;=U12-1E-9,"Pass","Fail"),IF(T12="Between",IF(AND(I12&gt;=U12,I12&lt;=V12),"Pass","Fail"),IF(J12="","Not done yet",IF(T12="±%",IF(X12="","Check correct answer",IF(ABS(X12)*100&lt;=V12+1E-9,"Pass","Fail")),IF(T12="% range",IF(X12="","Check correct answer",IF(AND(X12*100&gt;=U12-1E-9,X12*100&lt;=V12+1E-9),"Pass","Fail")),IF(T12="±abs",IF(ABS(W12)&lt;=V12+1E-9,"Pass","Fail"),"Check type"))))))))))</f>
        <v/>
      </c>
    </row>
    <row r="13">
      <c r="A13" s="15" t="inlineStr">
        <is>
          <t>S2-007</t>
        </is>
      </c>
      <c r="B13" s="15" t="inlineStr">
        <is>
          <t>A</t>
        </is>
      </c>
      <c r="C13" s="15" t="inlineStr">
        <is>
          <t>Areas</t>
        </is>
      </c>
      <c r="D13" s="15" t="inlineStr">
        <is>
          <t>Hand unit U3: carpet area</t>
        </is>
      </c>
      <c r="E13" s="15" t="inlineStr">
        <is>
          <t>m²</t>
        </is>
      </c>
      <c r="F13" s="15" t="inlineStr">
        <is>
          <t>Book</t>
        </is>
      </c>
      <c r="G13" s="15" t="inlineStr">
        <is>
          <t>Unit drawn by hand with known areas</t>
        </is>
      </c>
      <c r="H13" s="15" t="inlineStr">
        <is>
          <t>Within 2% of correct answer</t>
        </is>
      </c>
      <c r="I13" s="16" t="n"/>
      <c r="J13" s="16" t="n"/>
      <c r="K13" s="16" t="n"/>
      <c r="L13" s="25">
        <f>IF(X13="","",X13)</f>
        <v/>
      </c>
      <c r="M13" s="18">
        <f>IF(O13&lt;&gt;"",O13,Y13)</f>
        <v/>
      </c>
      <c r="N13" s="16" t="n"/>
      <c r="O13" s="19" t="n"/>
      <c r="P13" s="19" t="n"/>
      <c r="Q13" s="19" t="n"/>
      <c r="R13" s="20" t="inlineStr">
        <is>
          <t>RERA Act 2016 Sec. 2(k) (carpet)</t>
        </is>
      </c>
      <c r="S13" s="20" t="inlineStr">
        <is>
          <t>n/a</t>
        </is>
      </c>
      <c r="T13" s="20" t="inlineStr">
        <is>
          <t>±%</t>
        </is>
      </c>
      <c r="U13" s="20" t="n"/>
      <c r="V13" s="20" t="n">
        <v>2</v>
      </c>
      <c r="W13" s="20">
        <f>IF(AND(ISNUMBER(I13),ISNUMBER(J13)),I13-J13,"")</f>
        <v/>
      </c>
      <c r="X13" s="20">
        <f>IF(AND(ISNUMBER(I13),ISNUMBER(J13)),IF(J13=0,"",(I13-J13)/ABS(J13)),"")</f>
        <v/>
      </c>
      <c r="Y13" s="20">
        <f>IF(T13="Advisory","No pass mark",IF(T13="Manual","Claude will check",IF(I13="","Not done yet",IF(T13="Exact",IF(AND(ISNUMBER(I13),ISNUMBER(J13)),IF(ROUND(I13,2)=ROUND(J13,2),"Pass","Fail"),IF(TRIM(LOWER(I13&amp;""))=TRIM(LOWER(J13&amp;"")),"Pass","Fail")),IF(T13="Min",IF(I13&gt;=U13-1E-9,"Pass","Fail"),IF(T13="Between",IF(AND(I13&gt;=U13,I13&lt;=V13),"Pass","Fail"),IF(J13="","Not done yet",IF(T13="±%",IF(X13="","Check correct answer",IF(ABS(X13)*100&lt;=V13+1E-9,"Pass","Fail")),IF(T13="% range",IF(X13="","Check correct answer",IF(AND(X13*100&gt;=U13-1E-9,X13*100&lt;=V13+1E-9),"Pass","Fail")),IF(T13="±abs",IF(ABS(W13)&lt;=V13+1E-9,"Pass","Fail"),"Check type"))))))))))</f>
        <v/>
      </c>
    </row>
    <row r="14">
      <c r="A14" s="15" t="inlineStr">
        <is>
          <t>S2-008</t>
        </is>
      </c>
      <c r="B14" s="15" t="inlineStr">
        <is>
          <t>A</t>
        </is>
      </c>
      <c r="C14" s="15" t="inlineStr">
        <is>
          <t>Areas</t>
        </is>
      </c>
      <c r="D14" s="15" t="inlineStr">
        <is>
          <t>Hand unit U3: built-up area</t>
        </is>
      </c>
      <c r="E14" s="15" t="inlineStr">
        <is>
          <t>m²</t>
        </is>
      </c>
      <c r="F14" s="15" t="inlineStr">
        <is>
          <t>Book</t>
        </is>
      </c>
      <c r="G14" s="15" t="inlineStr">
        <is>
          <t>Unit drawn by hand with known areas</t>
        </is>
      </c>
      <c r="H14" s="15" t="inlineStr">
        <is>
          <t>Within 2% of correct answer</t>
        </is>
      </c>
      <c r="I14" s="16" t="n"/>
      <c r="J14" s="16" t="n"/>
      <c r="K14" s="16" t="n"/>
      <c r="L14" s="25">
        <f>IF(X14="","",X14)</f>
        <v/>
      </c>
      <c r="M14" s="18">
        <f>IF(O14&lt;&gt;"",O14,Y14)</f>
        <v/>
      </c>
      <c r="N14" s="16" t="n"/>
      <c r="O14" s="19" t="n"/>
      <c r="P14" s="19" t="n"/>
      <c r="Q14" s="19" t="n"/>
      <c r="R14" s="20" t="inlineStr">
        <is>
          <t>RERA Act 2016 Sec. 2(k) (carpet)</t>
        </is>
      </c>
      <c r="S14" s="20" t="inlineStr">
        <is>
          <t>n/a</t>
        </is>
      </c>
      <c r="T14" s="20" t="inlineStr">
        <is>
          <t>±%</t>
        </is>
      </c>
      <c r="U14" s="20" t="n"/>
      <c r="V14" s="20" t="n">
        <v>2</v>
      </c>
      <c r="W14" s="20">
        <f>IF(AND(ISNUMBER(I14),ISNUMBER(J14)),I14-J14,"")</f>
        <v/>
      </c>
      <c r="X14" s="20">
        <f>IF(AND(ISNUMBER(I14),ISNUMBER(J14)),IF(J14=0,"",(I14-J14)/ABS(J14)),"")</f>
        <v/>
      </c>
      <c r="Y14" s="20">
        <f>IF(T14="Advisory","No pass mark",IF(T14="Manual","Claude will check",IF(I14="","Not done yet",IF(T14="Exact",IF(AND(ISNUMBER(I14),ISNUMBER(J14)),IF(ROUND(I14,2)=ROUND(J14,2),"Pass","Fail"),IF(TRIM(LOWER(I14&amp;""))=TRIM(LOWER(J14&amp;"")),"Pass","Fail")),IF(T14="Min",IF(I14&gt;=U14-1E-9,"Pass","Fail"),IF(T14="Between",IF(AND(I14&gt;=U14,I14&lt;=V14),"Pass","Fail"),IF(J14="","Not done yet",IF(T14="±%",IF(X14="","Check correct answer",IF(ABS(X14)*100&lt;=V14+1E-9,"Pass","Fail")),IF(T14="% range",IF(X14="","Check correct answer",IF(AND(X14*100&gt;=U14-1E-9,X14*100&lt;=V14+1E-9),"Pass","Fail")),IF(T14="±abs",IF(ABS(W14)&lt;=V14+1E-9,"Pass","Fail"),"Check type"))))))))))</f>
        <v/>
      </c>
    </row>
    <row r="15">
      <c r="A15" s="15" t="inlineStr">
        <is>
          <t>S2-009</t>
        </is>
      </c>
      <c r="B15" s="15" t="inlineStr">
        <is>
          <t>A</t>
        </is>
      </c>
      <c r="C15" s="15" t="inlineStr">
        <is>
          <t>Areas</t>
        </is>
      </c>
      <c r="D15" s="15" t="inlineStr">
        <is>
          <t>Hand unit U3: super built-up area</t>
        </is>
      </c>
      <c r="E15" s="15" t="inlineStr">
        <is>
          <t>m²</t>
        </is>
      </c>
      <c r="F15" s="15" t="inlineStr">
        <is>
          <t>Book</t>
        </is>
      </c>
      <c r="G15" s="15" t="inlineStr">
        <is>
          <t>Unit drawn by hand with known areas</t>
        </is>
      </c>
      <c r="H15" s="15" t="inlineStr">
        <is>
          <t>Within 2% of correct answer</t>
        </is>
      </c>
      <c r="I15" s="16" t="n"/>
      <c r="J15" s="16" t="n"/>
      <c r="K15" s="16" t="n"/>
      <c r="L15" s="25">
        <f>IF(X15="","",X15)</f>
        <v/>
      </c>
      <c r="M15" s="18">
        <f>IF(O15&lt;&gt;"",O15,Y15)</f>
        <v/>
      </c>
      <c r="N15" s="16" t="n"/>
      <c r="O15" s="19" t="n"/>
      <c r="P15" s="19" t="n"/>
      <c r="Q15" s="19" t="n"/>
      <c r="R15" s="20" t="inlineStr">
        <is>
          <t>RERA Act 2016 Sec. 2(k) (carpet)</t>
        </is>
      </c>
      <c r="S15" s="20" t="inlineStr">
        <is>
          <t>n/a</t>
        </is>
      </c>
      <c r="T15" s="20" t="inlineStr">
        <is>
          <t>±%</t>
        </is>
      </c>
      <c r="U15" s="20" t="n"/>
      <c r="V15" s="20" t="n">
        <v>2</v>
      </c>
      <c r="W15" s="20">
        <f>IF(AND(ISNUMBER(I15),ISNUMBER(J15)),I15-J15,"")</f>
        <v/>
      </c>
      <c r="X15" s="20">
        <f>IF(AND(ISNUMBER(I15),ISNUMBER(J15)),IF(J15=0,"",(I15-J15)/ABS(J15)),"")</f>
        <v/>
      </c>
      <c r="Y15" s="20">
        <f>IF(T15="Advisory","No pass mark",IF(T15="Manual","Claude will check",IF(I15="","Not done yet",IF(T15="Exact",IF(AND(ISNUMBER(I15),ISNUMBER(J15)),IF(ROUND(I15,2)=ROUND(J15,2),"Pass","Fail"),IF(TRIM(LOWER(I15&amp;""))=TRIM(LOWER(J15&amp;"")),"Pass","Fail")),IF(T15="Min",IF(I15&gt;=U15-1E-9,"Pass","Fail"),IF(T15="Between",IF(AND(I15&gt;=U15,I15&lt;=V15),"Pass","Fail"),IF(J15="","Not done yet",IF(T15="±%",IF(X15="","Check correct answer",IF(ABS(X15)*100&lt;=V15+1E-9,"Pass","Fail")),IF(T15="% range",IF(X15="","Check correct answer",IF(AND(X15*100&gt;=U15-1E-9,X15*100&lt;=V15+1E-9),"Pass","Fail")),IF(T15="±abs",IF(ABS(W15)&lt;=V15+1E-9,"Pass","Fail"),"Check type"))))))))))</f>
        <v/>
      </c>
    </row>
    <row r="16">
      <c r="A16" s="15" t="inlineStr">
        <is>
          <t>S2-010</t>
        </is>
      </c>
      <c r="B16" s="15" t="inlineStr">
        <is>
          <t>A</t>
        </is>
      </c>
      <c r="C16" s="15" t="inlineStr">
        <is>
          <t>Areas</t>
        </is>
      </c>
      <c r="D16" s="15" t="inlineStr">
        <is>
          <t>Hand unit U4: carpet area</t>
        </is>
      </c>
      <c r="E16" s="15" t="inlineStr">
        <is>
          <t>m²</t>
        </is>
      </c>
      <c r="F16" s="15" t="inlineStr">
        <is>
          <t>Book</t>
        </is>
      </c>
      <c r="G16" s="15" t="inlineStr">
        <is>
          <t>Unit drawn by hand with known areas</t>
        </is>
      </c>
      <c r="H16" s="15" t="inlineStr">
        <is>
          <t>Within 2% of correct answer</t>
        </is>
      </c>
      <c r="I16" s="16" t="n"/>
      <c r="J16" s="16" t="n"/>
      <c r="K16" s="16" t="n"/>
      <c r="L16" s="25">
        <f>IF(X16="","",X16)</f>
        <v/>
      </c>
      <c r="M16" s="18">
        <f>IF(O16&lt;&gt;"",O16,Y16)</f>
        <v/>
      </c>
      <c r="N16" s="16" t="n"/>
      <c r="O16" s="19" t="n"/>
      <c r="P16" s="19" t="n"/>
      <c r="Q16" s="19" t="n"/>
      <c r="R16" s="20" t="inlineStr">
        <is>
          <t>RERA Act 2016 Sec. 2(k) (carpet)</t>
        </is>
      </c>
      <c r="S16" s="20" t="inlineStr">
        <is>
          <t>n/a</t>
        </is>
      </c>
      <c r="T16" s="20" t="inlineStr">
        <is>
          <t>±%</t>
        </is>
      </c>
      <c r="U16" s="20" t="n"/>
      <c r="V16" s="20" t="n">
        <v>2</v>
      </c>
      <c r="W16" s="20">
        <f>IF(AND(ISNUMBER(I16),ISNUMBER(J16)),I16-J16,"")</f>
        <v/>
      </c>
      <c r="X16" s="20">
        <f>IF(AND(ISNUMBER(I16),ISNUMBER(J16)),IF(J16=0,"",(I16-J16)/ABS(J16)),"")</f>
        <v/>
      </c>
      <c r="Y16" s="20">
        <f>IF(T16="Advisory","No pass mark",IF(T16="Manual","Claude will check",IF(I16="","Not done yet",IF(T16="Exact",IF(AND(ISNUMBER(I16),ISNUMBER(J16)),IF(ROUND(I16,2)=ROUND(J16,2),"Pass","Fail"),IF(TRIM(LOWER(I16&amp;""))=TRIM(LOWER(J16&amp;"")),"Pass","Fail")),IF(T16="Min",IF(I16&gt;=U16-1E-9,"Pass","Fail"),IF(T16="Between",IF(AND(I16&gt;=U16,I16&lt;=V16),"Pass","Fail"),IF(J16="","Not done yet",IF(T16="±%",IF(X16="","Check correct answer",IF(ABS(X16)*100&lt;=V16+1E-9,"Pass","Fail")),IF(T16="% range",IF(X16="","Check correct answer",IF(AND(X16*100&gt;=U16-1E-9,X16*100&lt;=V16+1E-9),"Pass","Fail")),IF(T16="±abs",IF(ABS(W16)&lt;=V16+1E-9,"Pass","Fail"),"Check type"))))))))))</f>
        <v/>
      </c>
    </row>
    <row r="17">
      <c r="A17" s="15" t="inlineStr">
        <is>
          <t>S2-011</t>
        </is>
      </c>
      <c r="B17" s="15" t="inlineStr">
        <is>
          <t>A</t>
        </is>
      </c>
      <c r="C17" s="15" t="inlineStr">
        <is>
          <t>Areas</t>
        </is>
      </c>
      <c r="D17" s="15" t="inlineStr">
        <is>
          <t>Hand unit U4: built-up area</t>
        </is>
      </c>
      <c r="E17" s="15" t="inlineStr">
        <is>
          <t>m²</t>
        </is>
      </c>
      <c r="F17" s="15" t="inlineStr">
        <is>
          <t>Book</t>
        </is>
      </c>
      <c r="G17" s="15" t="inlineStr">
        <is>
          <t>Unit drawn by hand with known areas</t>
        </is>
      </c>
      <c r="H17" s="15" t="inlineStr">
        <is>
          <t>Within 2% of correct answer</t>
        </is>
      </c>
      <c r="I17" s="16" t="n"/>
      <c r="J17" s="16" t="n"/>
      <c r="K17" s="16" t="n"/>
      <c r="L17" s="25">
        <f>IF(X17="","",X17)</f>
        <v/>
      </c>
      <c r="M17" s="18">
        <f>IF(O17&lt;&gt;"",O17,Y17)</f>
        <v/>
      </c>
      <c r="N17" s="16" t="n"/>
      <c r="O17" s="19" t="n"/>
      <c r="P17" s="19" t="n"/>
      <c r="Q17" s="19" t="n"/>
      <c r="R17" s="20" t="inlineStr">
        <is>
          <t>RERA Act 2016 Sec. 2(k) (carpet)</t>
        </is>
      </c>
      <c r="S17" s="20" t="inlineStr">
        <is>
          <t>n/a</t>
        </is>
      </c>
      <c r="T17" s="20" t="inlineStr">
        <is>
          <t>±%</t>
        </is>
      </c>
      <c r="U17" s="20" t="n"/>
      <c r="V17" s="20" t="n">
        <v>2</v>
      </c>
      <c r="W17" s="20">
        <f>IF(AND(ISNUMBER(I17),ISNUMBER(J17)),I17-J17,"")</f>
        <v/>
      </c>
      <c r="X17" s="20">
        <f>IF(AND(ISNUMBER(I17),ISNUMBER(J17)),IF(J17=0,"",(I17-J17)/ABS(J17)),"")</f>
        <v/>
      </c>
      <c r="Y17" s="20">
        <f>IF(T17="Advisory","No pass mark",IF(T17="Manual","Claude will check",IF(I17="","Not done yet",IF(T17="Exact",IF(AND(ISNUMBER(I17),ISNUMBER(J17)),IF(ROUND(I17,2)=ROUND(J17,2),"Pass","Fail"),IF(TRIM(LOWER(I17&amp;""))=TRIM(LOWER(J17&amp;"")),"Pass","Fail")),IF(T17="Min",IF(I17&gt;=U17-1E-9,"Pass","Fail"),IF(T17="Between",IF(AND(I17&gt;=U17,I17&lt;=V17),"Pass","Fail"),IF(J17="","Not done yet",IF(T17="±%",IF(X17="","Check correct answer",IF(ABS(X17)*100&lt;=V17+1E-9,"Pass","Fail")),IF(T17="% range",IF(X17="","Check correct answer",IF(AND(X17*100&gt;=U17-1E-9,X17*100&lt;=V17+1E-9),"Pass","Fail")),IF(T17="±abs",IF(ABS(W17)&lt;=V17+1E-9,"Pass","Fail"),"Check type"))))))))))</f>
        <v/>
      </c>
    </row>
    <row r="18">
      <c r="A18" s="15" t="inlineStr">
        <is>
          <t>S2-012</t>
        </is>
      </c>
      <c r="B18" s="15" t="inlineStr">
        <is>
          <t>A</t>
        </is>
      </c>
      <c r="C18" s="15" t="inlineStr">
        <is>
          <t>Areas</t>
        </is>
      </c>
      <c r="D18" s="15" t="inlineStr">
        <is>
          <t>Hand unit U4: super built-up area</t>
        </is>
      </c>
      <c r="E18" s="15" t="inlineStr">
        <is>
          <t>m²</t>
        </is>
      </c>
      <c r="F18" s="15" t="inlineStr">
        <is>
          <t>Book</t>
        </is>
      </c>
      <c r="G18" s="15" t="inlineStr">
        <is>
          <t>Unit drawn by hand with known areas</t>
        </is>
      </c>
      <c r="H18" s="15" t="inlineStr">
        <is>
          <t>Within 2% of correct answer</t>
        </is>
      </c>
      <c r="I18" s="16" t="n"/>
      <c r="J18" s="16" t="n"/>
      <c r="K18" s="16" t="n"/>
      <c r="L18" s="25">
        <f>IF(X18="","",X18)</f>
        <v/>
      </c>
      <c r="M18" s="18">
        <f>IF(O18&lt;&gt;"",O18,Y18)</f>
        <v/>
      </c>
      <c r="N18" s="16" t="n"/>
      <c r="O18" s="19" t="n"/>
      <c r="P18" s="19" t="n"/>
      <c r="Q18" s="19" t="n"/>
      <c r="R18" s="20" t="inlineStr">
        <is>
          <t>RERA Act 2016 Sec. 2(k) (carpet)</t>
        </is>
      </c>
      <c r="S18" s="20" t="inlineStr">
        <is>
          <t>n/a</t>
        </is>
      </c>
      <c r="T18" s="20" t="inlineStr">
        <is>
          <t>±%</t>
        </is>
      </c>
      <c r="U18" s="20" t="n"/>
      <c r="V18" s="20" t="n">
        <v>2</v>
      </c>
      <c r="W18" s="20">
        <f>IF(AND(ISNUMBER(I18),ISNUMBER(J18)),I18-J18,"")</f>
        <v/>
      </c>
      <c r="X18" s="20">
        <f>IF(AND(ISNUMBER(I18),ISNUMBER(J18)),IF(J18=0,"",(I18-J18)/ABS(J18)),"")</f>
        <v/>
      </c>
      <c r="Y18" s="20">
        <f>IF(T18="Advisory","No pass mark",IF(T18="Manual","Claude will check",IF(I18="","Not done yet",IF(T18="Exact",IF(AND(ISNUMBER(I18),ISNUMBER(J18)),IF(ROUND(I18,2)=ROUND(J18,2),"Pass","Fail"),IF(TRIM(LOWER(I18&amp;""))=TRIM(LOWER(J18&amp;"")),"Pass","Fail")),IF(T18="Min",IF(I18&gt;=U18-1E-9,"Pass","Fail"),IF(T18="Between",IF(AND(I18&gt;=U18,I18&lt;=V18),"Pass","Fail"),IF(J18="","Not done yet",IF(T18="±%",IF(X18="","Check correct answer",IF(ABS(X18)*100&lt;=V18+1E-9,"Pass","Fail")),IF(T18="% range",IF(X18="","Check correct answer",IF(AND(X18*100&gt;=U18-1E-9,X18*100&lt;=V18+1E-9),"Pass","Fail")),IF(T18="±abs",IF(ABS(W18)&lt;=V18+1E-9,"Pass","Fail"),"Check type"))))))))))</f>
        <v/>
      </c>
    </row>
    <row r="19">
      <c r="A19" s="15" t="inlineStr">
        <is>
          <t>S2-013</t>
        </is>
      </c>
      <c r="B19" s="15" t="inlineStr">
        <is>
          <t>A</t>
        </is>
      </c>
      <c r="C19" s="15" t="inlineStr">
        <is>
          <t>Areas</t>
        </is>
      </c>
      <c r="D19" s="15" t="inlineStr">
        <is>
          <t>Hand unit U5: carpet area</t>
        </is>
      </c>
      <c r="E19" s="15" t="inlineStr">
        <is>
          <t>m²</t>
        </is>
      </c>
      <c r="F19" s="15" t="inlineStr">
        <is>
          <t>Book</t>
        </is>
      </c>
      <c r="G19" s="15" t="inlineStr">
        <is>
          <t>Unit drawn by hand with known areas</t>
        </is>
      </c>
      <c r="H19" s="15" t="inlineStr">
        <is>
          <t>Within 2% of correct answer</t>
        </is>
      </c>
      <c r="I19" s="16" t="n"/>
      <c r="J19" s="16" t="n"/>
      <c r="K19" s="16" t="n"/>
      <c r="L19" s="25">
        <f>IF(X19="","",X19)</f>
        <v/>
      </c>
      <c r="M19" s="18">
        <f>IF(O19&lt;&gt;"",O19,Y19)</f>
        <v/>
      </c>
      <c r="N19" s="16" t="n"/>
      <c r="O19" s="19" t="n"/>
      <c r="P19" s="19" t="n"/>
      <c r="Q19" s="19" t="n"/>
      <c r="R19" s="20" t="inlineStr">
        <is>
          <t>RERA Act 2016 Sec. 2(k) (carpet)</t>
        </is>
      </c>
      <c r="S19" s="20" t="inlineStr">
        <is>
          <t>n/a</t>
        </is>
      </c>
      <c r="T19" s="20" t="inlineStr">
        <is>
          <t>±%</t>
        </is>
      </c>
      <c r="U19" s="20" t="n"/>
      <c r="V19" s="20" t="n">
        <v>2</v>
      </c>
      <c r="W19" s="20">
        <f>IF(AND(ISNUMBER(I19),ISNUMBER(J19)),I19-J19,"")</f>
        <v/>
      </c>
      <c r="X19" s="20">
        <f>IF(AND(ISNUMBER(I19),ISNUMBER(J19)),IF(J19=0,"",(I19-J19)/ABS(J19)),"")</f>
        <v/>
      </c>
      <c r="Y19" s="20">
        <f>IF(T19="Advisory","No pass mark",IF(T19="Manual","Claude will check",IF(I19="","Not done yet",IF(T19="Exact",IF(AND(ISNUMBER(I19),ISNUMBER(J19)),IF(ROUND(I19,2)=ROUND(J19,2),"Pass","Fail"),IF(TRIM(LOWER(I19&amp;""))=TRIM(LOWER(J19&amp;"")),"Pass","Fail")),IF(T19="Min",IF(I19&gt;=U19-1E-9,"Pass","Fail"),IF(T19="Between",IF(AND(I19&gt;=U19,I19&lt;=V19),"Pass","Fail"),IF(J19="","Not done yet",IF(T19="±%",IF(X19="","Check correct answer",IF(ABS(X19)*100&lt;=V19+1E-9,"Pass","Fail")),IF(T19="% range",IF(X19="","Check correct answer",IF(AND(X19*100&gt;=U19-1E-9,X19*100&lt;=V19+1E-9),"Pass","Fail")),IF(T19="±abs",IF(ABS(W19)&lt;=V19+1E-9,"Pass","Fail"),"Check type"))))))))))</f>
        <v/>
      </c>
    </row>
    <row r="20">
      <c r="A20" s="15" t="inlineStr">
        <is>
          <t>S2-014</t>
        </is>
      </c>
      <c r="B20" s="15" t="inlineStr">
        <is>
          <t>A</t>
        </is>
      </c>
      <c r="C20" s="15" t="inlineStr">
        <is>
          <t>Areas</t>
        </is>
      </c>
      <c r="D20" s="15" t="inlineStr">
        <is>
          <t>Hand unit U5: built-up area</t>
        </is>
      </c>
      <c r="E20" s="15" t="inlineStr">
        <is>
          <t>m²</t>
        </is>
      </c>
      <c r="F20" s="15" t="inlineStr">
        <is>
          <t>Book</t>
        </is>
      </c>
      <c r="G20" s="15" t="inlineStr">
        <is>
          <t>Unit drawn by hand with known areas</t>
        </is>
      </c>
      <c r="H20" s="15" t="inlineStr">
        <is>
          <t>Within 2% of correct answer</t>
        </is>
      </c>
      <c r="I20" s="16" t="n"/>
      <c r="J20" s="16" t="n"/>
      <c r="K20" s="16" t="n"/>
      <c r="L20" s="25">
        <f>IF(X20="","",X20)</f>
        <v/>
      </c>
      <c r="M20" s="18">
        <f>IF(O20&lt;&gt;"",O20,Y20)</f>
        <v/>
      </c>
      <c r="N20" s="16" t="n"/>
      <c r="O20" s="19" t="n"/>
      <c r="P20" s="19" t="n"/>
      <c r="Q20" s="19" t="n"/>
      <c r="R20" s="20" t="inlineStr">
        <is>
          <t>RERA Act 2016 Sec. 2(k) (carpet)</t>
        </is>
      </c>
      <c r="S20" s="20" t="inlineStr">
        <is>
          <t>n/a</t>
        </is>
      </c>
      <c r="T20" s="20" t="inlineStr">
        <is>
          <t>±%</t>
        </is>
      </c>
      <c r="U20" s="20" t="n"/>
      <c r="V20" s="20" t="n">
        <v>2</v>
      </c>
      <c r="W20" s="20">
        <f>IF(AND(ISNUMBER(I20),ISNUMBER(J20)),I20-J20,"")</f>
        <v/>
      </c>
      <c r="X20" s="20">
        <f>IF(AND(ISNUMBER(I20),ISNUMBER(J20)),IF(J20=0,"",(I20-J20)/ABS(J20)),"")</f>
        <v/>
      </c>
      <c r="Y20" s="20">
        <f>IF(T20="Advisory","No pass mark",IF(T20="Manual","Claude will check",IF(I20="","Not done yet",IF(T20="Exact",IF(AND(ISNUMBER(I20),ISNUMBER(J20)),IF(ROUND(I20,2)=ROUND(J20,2),"Pass","Fail"),IF(TRIM(LOWER(I20&amp;""))=TRIM(LOWER(J20&amp;"")),"Pass","Fail")),IF(T20="Min",IF(I20&gt;=U20-1E-9,"Pass","Fail"),IF(T20="Between",IF(AND(I20&gt;=U20,I20&lt;=V20),"Pass","Fail"),IF(J20="","Not done yet",IF(T20="±%",IF(X20="","Check correct answer",IF(ABS(X20)*100&lt;=V20+1E-9,"Pass","Fail")),IF(T20="% range",IF(X20="","Check correct answer",IF(AND(X20*100&gt;=U20-1E-9,X20*100&lt;=V20+1E-9),"Pass","Fail")),IF(T20="±abs",IF(ABS(W20)&lt;=V20+1E-9,"Pass","Fail"),"Check type"))))))))))</f>
        <v/>
      </c>
    </row>
    <row r="21">
      <c r="A21" s="15" t="inlineStr">
        <is>
          <t>S2-015</t>
        </is>
      </c>
      <c r="B21" s="15" t="inlineStr">
        <is>
          <t>A</t>
        </is>
      </c>
      <c r="C21" s="15" t="inlineStr">
        <is>
          <t>Areas</t>
        </is>
      </c>
      <c r="D21" s="15" t="inlineStr">
        <is>
          <t>Hand unit U5: super built-up area</t>
        </is>
      </c>
      <c r="E21" s="15" t="inlineStr">
        <is>
          <t>m²</t>
        </is>
      </c>
      <c r="F21" s="15" t="inlineStr">
        <is>
          <t>Book</t>
        </is>
      </c>
      <c r="G21" s="15" t="inlineStr">
        <is>
          <t>Unit drawn by hand with known areas</t>
        </is>
      </c>
      <c r="H21" s="15" t="inlineStr">
        <is>
          <t>Within 2% of correct answer</t>
        </is>
      </c>
      <c r="I21" s="16" t="n"/>
      <c r="J21" s="16" t="n"/>
      <c r="K21" s="16" t="n"/>
      <c r="L21" s="25">
        <f>IF(X21="","",X21)</f>
        <v/>
      </c>
      <c r="M21" s="18">
        <f>IF(O21&lt;&gt;"",O21,Y21)</f>
        <v/>
      </c>
      <c r="N21" s="16" t="n"/>
      <c r="O21" s="19" t="n"/>
      <c r="P21" s="19" t="n"/>
      <c r="Q21" s="19" t="n"/>
      <c r="R21" s="20" t="inlineStr">
        <is>
          <t>RERA Act 2016 Sec. 2(k) (carpet)</t>
        </is>
      </c>
      <c r="S21" s="20" t="inlineStr">
        <is>
          <t>n/a</t>
        </is>
      </c>
      <c r="T21" s="20" t="inlineStr">
        <is>
          <t>±%</t>
        </is>
      </c>
      <c r="U21" s="20" t="n"/>
      <c r="V21" s="20" t="n">
        <v>2</v>
      </c>
      <c r="W21" s="20">
        <f>IF(AND(ISNUMBER(I21),ISNUMBER(J21)),I21-J21,"")</f>
        <v/>
      </c>
      <c r="X21" s="20">
        <f>IF(AND(ISNUMBER(I21),ISNUMBER(J21)),IF(J21=0,"",(I21-J21)/ABS(J21)),"")</f>
        <v/>
      </c>
      <c r="Y21" s="20">
        <f>IF(T21="Advisory","No pass mark",IF(T21="Manual","Claude will check",IF(I21="","Not done yet",IF(T21="Exact",IF(AND(ISNUMBER(I21),ISNUMBER(J21)),IF(ROUND(I21,2)=ROUND(J21,2),"Pass","Fail"),IF(TRIM(LOWER(I21&amp;""))=TRIM(LOWER(J21&amp;"")),"Pass","Fail")),IF(T21="Min",IF(I21&gt;=U21-1E-9,"Pass","Fail"),IF(T21="Between",IF(AND(I21&gt;=U21,I21&lt;=V21),"Pass","Fail"),IF(J21="","Not done yet",IF(T21="±%",IF(X21="","Check correct answer",IF(ABS(X21)*100&lt;=V21+1E-9,"Pass","Fail")),IF(T21="% range",IF(X21="","Check correct answer",IF(AND(X21*100&gt;=U21-1E-9,X21*100&lt;=V21+1E-9),"Pass","Fail")),IF(T21="±abs",IF(ABS(W21)&lt;=V21+1E-9,"Pass","Fail"),"Check type"))))))))))</f>
        <v/>
      </c>
    </row>
    <row r="22">
      <c r="A22" s="15" t="inlineStr">
        <is>
          <t>S2-016</t>
        </is>
      </c>
      <c r="B22" s="15" t="inlineStr">
        <is>
          <t>A</t>
        </is>
      </c>
      <c r="C22" s="15" t="inlineStr">
        <is>
          <t>Areas</t>
        </is>
      </c>
      <c r="D22" s="15" t="inlineStr">
        <is>
          <t>Hand unit U6: carpet area</t>
        </is>
      </c>
      <c r="E22" s="15" t="inlineStr">
        <is>
          <t>m²</t>
        </is>
      </c>
      <c r="F22" s="15" t="inlineStr">
        <is>
          <t>Book</t>
        </is>
      </c>
      <c r="G22" s="15" t="inlineStr">
        <is>
          <t>Unit drawn by hand with known areas</t>
        </is>
      </c>
      <c r="H22" s="15" t="inlineStr">
        <is>
          <t>Within 2% of correct answer</t>
        </is>
      </c>
      <c r="I22" s="16" t="n"/>
      <c r="J22" s="16" t="n"/>
      <c r="K22" s="16" t="n"/>
      <c r="L22" s="25">
        <f>IF(X22="","",X22)</f>
        <v/>
      </c>
      <c r="M22" s="18">
        <f>IF(O22&lt;&gt;"",O22,Y22)</f>
        <v/>
      </c>
      <c r="N22" s="16" t="n"/>
      <c r="O22" s="19" t="n"/>
      <c r="P22" s="19" t="n"/>
      <c r="Q22" s="19" t="n"/>
      <c r="R22" s="20" t="inlineStr">
        <is>
          <t>RERA Act 2016 Sec. 2(k) (carpet)</t>
        </is>
      </c>
      <c r="S22" s="20" t="inlineStr">
        <is>
          <t>n/a</t>
        </is>
      </c>
      <c r="T22" s="20" t="inlineStr">
        <is>
          <t>±%</t>
        </is>
      </c>
      <c r="U22" s="20" t="n"/>
      <c r="V22" s="20" t="n">
        <v>2</v>
      </c>
      <c r="W22" s="20">
        <f>IF(AND(ISNUMBER(I22),ISNUMBER(J22)),I22-J22,"")</f>
        <v/>
      </c>
      <c r="X22" s="20">
        <f>IF(AND(ISNUMBER(I22),ISNUMBER(J22)),IF(J22=0,"",(I22-J22)/ABS(J22)),"")</f>
        <v/>
      </c>
      <c r="Y22" s="20">
        <f>IF(T22="Advisory","No pass mark",IF(T22="Manual","Claude will check",IF(I22="","Not done yet",IF(T22="Exact",IF(AND(ISNUMBER(I22),ISNUMBER(J22)),IF(ROUND(I22,2)=ROUND(J22,2),"Pass","Fail"),IF(TRIM(LOWER(I22&amp;""))=TRIM(LOWER(J22&amp;"")),"Pass","Fail")),IF(T22="Min",IF(I22&gt;=U22-1E-9,"Pass","Fail"),IF(T22="Between",IF(AND(I22&gt;=U22,I22&lt;=V22),"Pass","Fail"),IF(J22="","Not done yet",IF(T22="±%",IF(X22="","Check correct answer",IF(ABS(X22)*100&lt;=V22+1E-9,"Pass","Fail")),IF(T22="% range",IF(X22="","Check correct answer",IF(AND(X22*100&gt;=U22-1E-9,X22*100&lt;=V22+1E-9),"Pass","Fail")),IF(T22="±abs",IF(ABS(W22)&lt;=V22+1E-9,"Pass","Fail"),"Check type"))))))))))</f>
        <v/>
      </c>
    </row>
    <row r="23">
      <c r="A23" s="15" t="inlineStr">
        <is>
          <t>S2-017</t>
        </is>
      </c>
      <c r="B23" s="15" t="inlineStr">
        <is>
          <t>A</t>
        </is>
      </c>
      <c r="C23" s="15" t="inlineStr">
        <is>
          <t>Areas</t>
        </is>
      </c>
      <c r="D23" s="15" t="inlineStr">
        <is>
          <t>Hand unit U6: built-up area</t>
        </is>
      </c>
      <c r="E23" s="15" t="inlineStr">
        <is>
          <t>m²</t>
        </is>
      </c>
      <c r="F23" s="15" t="inlineStr">
        <is>
          <t>Book</t>
        </is>
      </c>
      <c r="G23" s="15" t="inlineStr">
        <is>
          <t>Unit drawn by hand with known areas</t>
        </is>
      </c>
      <c r="H23" s="15" t="inlineStr">
        <is>
          <t>Within 2% of correct answer</t>
        </is>
      </c>
      <c r="I23" s="16" t="n"/>
      <c r="J23" s="16" t="n"/>
      <c r="K23" s="16" t="n"/>
      <c r="L23" s="25">
        <f>IF(X23="","",X23)</f>
        <v/>
      </c>
      <c r="M23" s="18">
        <f>IF(O23&lt;&gt;"",O23,Y23)</f>
        <v/>
      </c>
      <c r="N23" s="16" t="n"/>
      <c r="O23" s="19" t="n"/>
      <c r="P23" s="19" t="n"/>
      <c r="Q23" s="19" t="n"/>
      <c r="R23" s="20" t="inlineStr">
        <is>
          <t>RERA Act 2016 Sec. 2(k) (carpet)</t>
        </is>
      </c>
      <c r="S23" s="20" t="inlineStr">
        <is>
          <t>n/a</t>
        </is>
      </c>
      <c r="T23" s="20" t="inlineStr">
        <is>
          <t>±%</t>
        </is>
      </c>
      <c r="U23" s="20" t="n"/>
      <c r="V23" s="20" t="n">
        <v>2</v>
      </c>
      <c r="W23" s="20">
        <f>IF(AND(ISNUMBER(I23),ISNUMBER(J23)),I23-J23,"")</f>
        <v/>
      </c>
      <c r="X23" s="20">
        <f>IF(AND(ISNUMBER(I23),ISNUMBER(J23)),IF(J23=0,"",(I23-J23)/ABS(J23)),"")</f>
        <v/>
      </c>
      <c r="Y23" s="20">
        <f>IF(T23="Advisory","No pass mark",IF(T23="Manual","Claude will check",IF(I23="","Not done yet",IF(T23="Exact",IF(AND(ISNUMBER(I23),ISNUMBER(J23)),IF(ROUND(I23,2)=ROUND(J23,2),"Pass","Fail"),IF(TRIM(LOWER(I23&amp;""))=TRIM(LOWER(J23&amp;"")),"Pass","Fail")),IF(T23="Min",IF(I23&gt;=U23-1E-9,"Pass","Fail"),IF(T23="Between",IF(AND(I23&gt;=U23,I23&lt;=V23),"Pass","Fail"),IF(J23="","Not done yet",IF(T23="±%",IF(X23="","Check correct answer",IF(ABS(X23)*100&lt;=V23+1E-9,"Pass","Fail")),IF(T23="% range",IF(X23="","Check correct answer",IF(AND(X23*100&gt;=U23-1E-9,X23*100&lt;=V23+1E-9),"Pass","Fail")),IF(T23="±abs",IF(ABS(W23)&lt;=V23+1E-9,"Pass","Fail"),"Check type"))))))))))</f>
        <v/>
      </c>
    </row>
    <row r="24">
      <c r="A24" s="15" t="inlineStr">
        <is>
          <t>S2-018</t>
        </is>
      </c>
      <c r="B24" s="15" t="inlineStr">
        <is>
          <t>A</t>
        </is>
      </c>
      <c r="C24" s="15" t="inlineStr">
        <is>
          <t>Areas</t>
        </is>
      </c>
      <c r="D24" s="15" t="inlineStr">
        <is>
          <t>Hand unit U6: super built-up area</t>
        </is>
      </c>
      <c r="E24" s="15" t="inlineStr">
        <is>
          <t>m²</t>
        </is>
      </c>
      <c r="F24" s="15" t="inlineStr">
        <is>
          <t>Book</t>
        </is>
      </c>
      <c r="G24" s="15" t="inlineStr">
        <is>
          <t>Unit drawn by hand with known areas</t>
        </is>
      </c>
      <c r="H24" s="15" t="inlineStr">
        <is>
          <t>Within 2% of correct answer</t>
        </is>
      </c>
      <c r="I24" s="16" t="n"/>
      <c r="J24" s="16" t="n"/>
      <c r="K24" s="16" t="n"/>
      <c r="L24" s="25">
        <f>IF(X24="","",X24)</f>
        <v/>
      </c>
      <c r="M24" s="18">
        <f>IF(O24&lt;&gt;"",O24,Y24)</f>
        <v/>
      </c>
      <c r="N24" s="16" t="n"/>
      <c r="O24" s="19" t="n"/>
      <c r="P24" s="19" t="n"/>
      <c r="Q24" s="19" t="n"/>
      <c r="R24" s="20" t="inlineStr">
        <is>
          <t>RERA Act 2016 Sec. 2(k) (carpet)</t>
        </is>
      </c>
      <c r="S24" s="20" t="inlineStr">
        <is>
          <t>n/a</t>
        </is>
      </c>
      <c r="T24" s="20" t="inlineStr">
        <is>
          <t>±%</t>
        </is>
      </c>
      <c r="U24" s="20" t="n"/>
      <c r="V24" s="20" t="n">
        <v>2</v>
      </c>
      <c r="W24" s="20">
        <f>IF(AND(ISNUMBER(I24),ISNUMBER(J24)),I24-J24,"")</f>
        <v/>
      </c>
      <c r="X24" s="20">
        <f>IF(AND(ISNUMBER(I24),ISNUMBER(J24)),IF(J24=0,"",(I24-J24)/ABS(J24)),"")</f>
        <v/>
      </c>
      <c r="Y24" s="20">
        <f>IF(T24="Advisory","No pass mark",IF(T24="Manual","Claude will check",IF(I24="","Not done yet",IF(T24="Exact",IF(AND(ISNUMBER(I24),ISNUMBER(J24)),IF(ROUND(I24,2)=ROUND(J24,2),"Pass","Fail"),IF(TRIM(LOWER(I24&amp;""))=TRIM(LOWER(J24&amp;"")),"Pass","Fail")),IF(T24="Min",IF(I24&gt;=U24-1E-9,"Pass","Fail"),IF(T24="Between",IF(AND(I24&gt;=U24,I24&lt;=V24),"Pass","Fail"),IF(J24="","Not done yet",IF(T24="±%",IF(X24="","Check correct answer",IF(ABS(X24)*100&lt;=V24+1E-9,"Pass","Fail")),IF(T24="% range",IF(X24="","Check correct answer",IF(AND(X24*100&gt;=U24-1E-9,X24*100&lt;=V24+1E-9),"Pass","Fail")),IF(T24="±abs",IF(ABS(W24)&lt;=V24+1E-9,"Pass","Fail"),"Check type"))))))))))</f>
        <v/>
      </c>
    </row>
    <row r="25">
      <c r="A25" s="15" t="inlineStr">
        <is>
          <t>S2-019</t>
        </is>
      </c>
      <c r="B25" s="15" t="inlineStr">
        <is>
          <t>A</t>
        </is>
      </c>
      <c r="C25" s="15" t="inlineStr">
        <is>
          <t>Areas</t>
        </is>
      </c>
      <c r="D25" s="15" t="inlineStr">
        <is>
          <t>Hand unit U7: carpet area</t>
        </is>
      </c>
      <c r="E25" s="15" t="inlineStr">
        <is>
          <t>m²</t>
        </is>
      </c>
      <c r="F25" s="15" t="inlineStr">
        <is>
          <t>Book</t>
        </is>
      </c>
      <c r="G25" s="15" t="inlineStr">
        <is>
          <t>Unit drawn by hand with known areas</t>
        </is>
      </c>
      <c r="H25" s="15" t="inlineStr">
        <is>
          <t>Within 2% of correct answer</t>
        </is>
      </c>
      <c r="I25" s="16" t="n"/>
      <c r="J25" s="16" t="n"/>
      <c r="K25" s="16" t="n"/>
      <c r="L25" s="25">
        <f>IF(X25="","",X25)</f>
        <v/>
      </c>
      <c r="M25" s="18">
        <f>IF(O25&lt;&gt;"",O25,Y25)</f>
        <v/>
      </c>
      <c r="N25" s="16" t="n"/>
      <c r="O25" s="19" t="n"/>
      <c r="P25" s="19" t="n"/>
      <c r="Q25" s="19" t="n"/>
      <c r="R25" s="20" t="inlineStr">
        <is>
          <t>RERA Act 2016 Sec. 2(k) (carpet)</t>
        </is>
      </c>
      <c r="S25" s="20" t="inlineStr">
        <is>
          <t>n/a</t>
        </is>
      </c>
      <c r="T25" s="20" t="inlineStr">
        <is>
          <t>±%</t>
        </is>
      </c>
      <c r="U25" s="20" t="n"/>
      <c r="V25" s="20" t="n">
        <v>2</v>
      </c>
      <c r="W25" s="20">
        <f>IF(AND(ISNUMBER(I25),ISNUMBER(J25)),I25-J25,"")</f>
        <v/>
      </c>
      <c r="X25" s="20">
        <f>IF(AND(ISNUMBER(I25),ISNUMBER(J25)),IF(J25=0,"",(I25-J25)/ABS(J25)),"")</f>
        <v/>
      </c>
      <c r="Y25" s="20">
        <f>IF(T25="Advisory","No pass mark",IF(T25="Manual","Claude will check",IF(I25="","Not done yet",IF(T25="Exact",IF(AND(ISNUMBER(I25),ISNUMBER(J25)),IF(ROUND(I25,2)=ROUND(J25,2),"Pass","Fail"),IF(TRIM(LOWER(I25&amp;""))=TRIM(LOWER(J25&amp;"")),"Pass","Fail")),IF(T25="Min",IF(I25&gt;=U25-1E-9,"Pass","Fail"),IF(T25="Between",IF(AND(I25&gt;=U25,I25&lt;=V25),"Pass","Fail"),IF(J25="","Not done yet",IF(T25="±%",IF(X25="","Check correct answer",IF(ABS(X25)*100&lt;=V25+1E-9,"Pass","Fail")),IF(T25="% range",IF(X25="","Check correct answer",IF(AND(X25*100&gt;=U25-1E-9,X25*100&lt;=V25+1E-9),"Pass","Fail")),IF(T25="±abs",IF(ABS(W25)&lt;=V25+1E-9,"Pass","Fail"),"Check type"))))))))))</f>
        <v/>
      </c>
    </row>
    <row r="26">
      <c r="A26" s="15" t="inlineStr">
        <is>
          <t>S2-020</t>
        </is>
      </c>
      <c r="B26" s="15" t="inlineStr">
        <is>
          <t>A</t>
        </is>
      </c>
      <c r="C26" s="15" t="inlineStr">
        <is>
          <t>Areas</t>
        </is>
      </c>
      <c r="D26" s="15" t="inlineStr">
        <is>
          <t>Hand unit U7: built-up area</t>
        </is>
      </c>
      <c r="E26" s="15" t="inlineStr">
        <is>
          <t>m²</t>
        </is>
      </c>
      <c r="F26" s="15" t="inlineStr">
        <is>
          <t>Book</t>
        </is>
      </c>
      <c r="G26" s="15" t="inlineStr">
        <is>
          <t>Unit drawn by hand with known areas</t>
        </is>
      </c>
      <c r="H26" s="15" t="inlineStr">
        <is>
          <t>Within 2% of correct answer</t>
        </is>
      </c>
      <c r="I26" s="16" t="n"/>
      <c r="J26" s="16" t="n"/>
      <c r="K26" s="16" t="n"/>
      <c r="L26" s="25">
        <f>IF(X26="","",X26)</f>
        <v/>
      </c>
      <c r="M26" s="18">
        <f>IF(O26&lt;&gt;"",O26,Y26)</f>
        <v/>
      </c>
      <c r="N26" s="16" t="n"/>
      <c r="O26" s="19" t="n"/>
      <c r="P26" s="19" t="n"/>
      <c r="Q26" s="19" t="n"/>
      <c r="R26" s="20" t="inlineStr">
        <is>
          <t>RERA Act 2016 Sec. 2(k) (carpet)</t>
        </is>
      </c>
      <c r="S26" s="20" t="inlineStr">
        <is>
          <t>n/a</t>
        </is>
      </c>
      <c r="T26" s="20" t="inlineStr">
        <is>
          <t>±%</t>
        </is>
      </c>
      <c r="U26" s="20" t="n"/>
      <c r="V26" s="20" t="n">
        <v>2</v>
      </c>
      <c r="W26" s="20">
        <f>IF(AND(ISNUMBER(I26),ISNUMBER(J26)),I26-J26,"")</f>
        <v/>
      </c>
      <c r="X26" s="20">
        <f>IF(AND(ISNUMBER(I26),ISNUMBER(J26)),IF(J26=0,"",(I26-J26)/ABS(J26)),"")</f>
        <v/>
      </c>
      <c r="Y26" s="20">
        <f>IF(T26="Advisory","No pass mark",IF(T26="Manual","Claude will check",IF(I26="","Not done yet",IF(T26="Exact",IF(AND(ISNUMBER(I26),ISNUMBER(J26)),IF(ROUND(I26,2)=ROUND(J26,2),"Pass","Fail"),IF(TRIM(LOWER(I26&amp;""))=TRIM(LOWER(J26&amp;"")),"Pass","Fail")),IF(T26="Min",IF(I26&gt;=U26-1E-9,"Pass","Fail"),IF(T26="Between",IF(AND(I26&gt;=U26,I26&lt;=V26),"Pass","Fail"),IF(J26="","Not done yet",IF(T26="±%",IF(X26="","Check correct answer",IF(ABS(X26)*100&lt;=V26+1E-9,"Pass","Fail")),IF(T26="% range",IF(X26="","Check correct answer",IF(AND(X26*100&gt;=U26-1E-9,X26*100&lt;=V26+1E-9),"Pass","Fail")),IF(T26="±abs",IF(ABS(W26)&lt;=V26+1E-9,"Pass","Fail"),"Check type"))))))))))</f>
        <v/>
      </c>
    </row>
    <row r="27">
      <c r="A27" s="15" t="inlineStr">
        <is>
          <t>S2-021</t>
        </is>
      </c>
      <c r="B27" s="15" t="inlineStr">
        <is>
          <t>A</t>
        </is>
      </c>
      <c r="C27" s="15" t="inlineStr">
        <is>
          <t>Areas</t>
        </is>
      </c>
      <c r="D27" s="15" t="inlineStr">
        <is>
          <t>Hand unit U7: super built-up area</t>
        </is>
      </c>
      <c r="E27" s="15" t="inlineStr">
        <is>
          <t>m²</t>
        </is>
      </c>
      <c r="F27" s="15" t="inlineStr">
        <is>
          <t>Book</t>
        </is>
      </c>
      <c r="G27" s="15" t="inlineStr">
        <is>
          <t>Unit drawn by hand with known areas</t>
        </is>
      </c>
      <c r="H27" s="15" t="inlineStr">
        <is>
          <t>Within 2% of correct answer</t>
        </is>
      </c>
      <c r="I27" s="16" t="n"/>
      <c r="J27" s="16" t="n"/>
      <c r="K27" s="16" t="n"/>
      <c r="L27" s="25">
        <f>IF(X27="","",X27)</f>
        <v/>
      </c>
      <c r="M27" s="18">
        <f>IF(O27&lt;&gt;"",O27,Y27)</f>
        <v/>
      </c>
      <c r="N27" s="16" t="n"/>
      <c r="O27" s="19" t="n"/>
      <c r="P27" s="19" t="n"/>
      <c r="Q27" s="19" t="n"/>
      <c r="R27" s="20" t="inlineStr">
        <is>
          <t>RERA Act 2016 Sec. 2(k) (carpet)</t>
        </is>
      </c>
      <c r="S27" s="20" t="inlineStr">
        <is>
          <t>n/a</t>
        </is>
      </c>
      <c r="T27" s="20" t="inlineStr">
        <is>
          <t>±%</t>
        </is>
      </c>
      <c r="U27" s="20" t="n"/>
      <c r="V27" s="20" t="n">
        <v>2</v>
      </c>
      <c r="W27" s="20">
        <f>IF(AND(ISNUMBER(I27),ISNUMBER(J27)),I27-J27,"")</f>
        <v/>
      </c>
      <c r="X27" s="20">
        <f>IF(AND(ISNUMBER(I27),ISNUMBER(J27)),IF(J27=0,"",(I27-J27)/ABS(J27)),"")</f>
        <v/>
      </c>
      <c r="Y27" s="20">
        <f>IF(T27="Advisory","No pass mark",IF(T27="Manual","Claude will check",IF(I27="","Not done yet",IF(T27="Exact",IF(AND(ISNUMBER(I27),ISNUMBER(J27)),IF(ROUND(I27,2)=ROUND(J27,2),"Pass","Fail"),IF(TRIM(LOWER(I27&amp;""))=TRIM(LOWER(J27&amp;"")),"Pass","Fail")),IF(T27="Min",IF(I27&gt;=U27-1E-9,"Pass","Fail"),IF(T27="Between",IF(AND(I27&gt;=U27,I27&lt;=V27),"Pass","Fail"),IF(J27="","Not done yet",IF(T27="±%",IF(X27="","Check correct answer",IF(ABS(X27)*100&lt;=V27+1E-9,"Pass","Fail")),IF(T27="% range",IF(X27="","Check correct answer",IF(AND(X27*100&gt;=U27-1E-9,X27*100&lt;=V27+1E-9),"Pass","Fail")),IF(T27="±abs",IF(ABS(W27)&lt;=V27+1E-9,"Pass","Fail"),"Check type"))))))))))</f>
        <v/>
      </c>
    </row>
    <row r="28">
      <c r="A28" s="15" t="inlineStr">
        <is>
          <t>S2-022</t>
        </is>
      </c>
      <c r="B28" s="15" t="inlineStr">
        <is>
          <t>A</t>
        </is>
      </c>
      <c r="C28" s="15" t="inlineStr">
        <is>
          <t>Areas</t>
        </is>
      </c>
      <c r="D28" s="15" t="inlineStr">
        <is>
          <t>Hand unit U8: carpet area</t>
        </is>
      </c>
      <c r="E28" s="15" t="inlineStr">
        <is>
          <t>m²</t>
        </is>
      </c>
      <c r="F28" s="15" t="inlineStr">
        <is>
          <t>Book</t>
        </is>
      </c>
      <c r="G28" s="15" t="inlineStr">
        <is>
          <t>Unit drawn by hand with known areas</t>
        </is>
      </c>
      <c r="H28" s="15" t="inlineStr">
        <is>
          <t>Within 2% of correct answer</t>
        </is>
      </c>
      <c r="I28" s="16" t="n"/>
      <c r="J28" s="16" t="n"/>
      <c r="K28" s="16" t="n"/>
      <c r="L28" s="25">
        <f>IF(X28="","",X28)</f>
        <v/>
      </c>
      <c r="M28" s="18">
        <f>IF(O28&lt;&gt;"",O28,Y28)</f>
        <v/>
      </c>
      <c r="N28" s="16" t="n"/>
      <c r="O28" s="19" t="n"/>
      <c r="P28" s="19" t="n"/>
      <c r="Q28" s="19" t="n"/>
      <c r="R28" s="20" t="inlineStr">
        <is>
          <t>RERA Act 2016 Sec. 2(k) (carpet)</t>
        </is>
      </c>
      <c r="S28" s="20" t="inlineStr">
        <is>
          <t>n/a</t>
        </is>
      </c>
      <c r="T28" s="20" t="inlineStr">
        <is>
          <t>±%</t>
        </is>
      </c>
      <c r="U28" s="20" t="n"/>
      <c r="V28" s="20" t="n">
        <v>2</v>
      </c>
      <c r="W28" s="20">
        <f>IF(AND(ISNUMBER(I28),ISNUMBER(J28)),I28-J28,"")</f>
        <v/>
      </c>
      <c r="X28" s="20">
        <f>IF(AND(ISNUMBER(I28),ISNUMBER(J28)),IF(J28=0,"",(I28-J28)/ABS(J28)),"")</f>
        <v/>
      </c>
      <c r="Y28" s="20">
        <f>IF(T28="Advisory","No pass mark",IF(T28="Manual","Claude will check",IF(I28="","Not done yet",IF(T28="Exact",IF(AND(ISNUMBER(I28),ISNUMBER(J28)),IF(ROUND(I28,2)=ROUND(J28,2),"Pass","Fail"),IF(TRIM(LOWER(I28&amp;""))=TRIM(LOWER(J28&amp;"")),"Pass","Fail")),IF(T28="Min",IF(I28&gt;=U28-1E-9,"Pass","Fail"),IF(T28="Between",IF(AND(I28&gt;=U28,I28&lt;=V28),"Pass","Fail"),IF(J28="","Not done yet",IF(T28="±%",IF(X28="","Check correct answer",IF(ABS(X28)*100&lt;=V28+1E-9,"Pass","Fail")),IF(T28="% range",IF(X28="","Check correct answer",IF(AND(X28*100&gt;=U28-1E-9,X28*100&lt;=V28+1E-9),"Pass","Fail")),IF(T28="±abs",IF(ABS(W28)&lt;=V28+1E-9,"Pass","Fail"),"Check type"))))))))))</f>
        <v/>
      </c>
    </row>
    <row r="29">
      <c r="A29" s="15" t="inlineStr">
        <is>
          <t>S2-023</t>
        </is>
      </c>
      <c r="B29" s="15" t="inlineStr">
        <is>
          <t>A</t>
        </is>
      </c>
      <c r="C29" s="15" t="inlineStr">
        <is>
          <t>Areas</t>
        </is>
      </c>
      <c r="D29" s="15" t="inlineStr">
        <is>
          <t>Hand unit U8: built-up area</t>
        </is>
      </c>
      <c r="E29" s="15" t="inlineStr">
        <is>
          <t>m²</t>
        </is>
      </c>
      <c r="F29" s="15" t="inlineStr">
        <is>
          <t>Book</t>
        </is>
      </c>
      <c r="G29" s="15" t="inlineStr">
        <is>
          <t>Unit drawn by hand with known areas</t>
        </is>
      </c>
      <c r="H29" s="15" t="inlineStr">
        <is>
          <t>Within 2% of correct answer</t>
        </is>
      </c>
      <c r="I29" s="16" t="n"/>
      <c r="J29" s="16" t="n"/>
      <c r="K29" s="16" t="n"/>
      <c r="L29" s="25">
        <f>IF(X29="","",X29)</f>
        <v/>
      </c>
      <c r="M29" s="18">
        <f>IF(O29&lt;&gt;"",O29,Y29)</f>
        <v/>
      </c>
      <c r="N29" s="16" t="n"/>
      <c r="O29" s="19" t="n"/>
      <c r="P29" s="19" t="n"/>
      <c r="Q29" s="19" t="n"/>
      <c r="R29" s="20" t="inlineStr">
        <is>
          <t>RERA Act 2016 Sec. 2(k) (carpet)</t>
        </is>
      </c>
      <c r="S29" s="20" t="inlineStr">
        <is>
          <t>n/a</t>
        </is>
      </c>
      <c r="T29" s="20" t="inlineStr">
        <is>
          <t>±%</t>
        </is>
      </c>
      <c r="U29" s="20" t="n"/>
      <c r="V29" s="20" t="n">
        <v>2</v>
      </c>
      <c r="W29" s="20">
        <f>IF(AND(ISNUMBER(I29),ISNUMBER(J29)),I29-J29,"")</f>
        <v/>
      </c>
      <c r="X29" s="20">
        <f>IF(AND(ISNUMBER(I29),ISNUMBER(J29)),IF(J29=0,"",(I29-J29)/ABS(J29)),"")</f>
        <v/>
      </c>
      <c r="Y29" s="20">
        <f>IF(T29="Advisory","No pass mark",IF(T29="Manual","Claude will check",IF(I29="","Not done yet",IF(T29="Exact",IF(AND(ISNUMBER(I29),ISNUMBER(J29)),IF(ROUND(I29,2)=ROUND(J29,2),"Pass","Fail"),IF(TRIM(LOWER(I29&amp;""))=TRIM(LOWER(J29&amp;"")),"Pass","Fail")),IF(T29="Min",IF(I29&gt;=U29-1E-9,"Pass","Fail"),IF(T29="Between",IF(AND(I29&gt;=U29,I29&lt;=V29),"Pass","Fail"),IF(J29="","Not done yet",IF(T29="±%",IF(X29="","Check correct answer",IF(ABS(X29)*100&lt;=V29+1E-9,"Pass","Fail")),IF(T29="% range",IF(X29="","Check correct answer",IF(AND(X29*100&gt;=U29-1E-9,X29*100&lt;=V29+1E-9),"Pass","Fail")),IF(T29="±abs",IF(ABS(W29)&lt;=V29+1E-9,"Pass","Fail"),"Check type"))))))))))</f>
        <v/>
      </c>
    </row>
    <row r="30">
      <c r="A30" s="15" t="inlineStr">
        <is>
          <t>S2-024</t>
        </is>
      </c>
      <c r="B30" s="15" t="inlineStr">
        <is>
          <t>A</t>
        </is>
      </c>
      <c r="C30" s="15" t="inlineStr">
        <is>
          <t>Areas</t>
        </is>
      </c>
      <c r="D30" s="15" t="inlineStr">
        <is>
          <t>Hand unit U8: super built-up area</t>
        </is>
      </c>
      <c r="E30" s="15" t="inlineStr">
        <is>
          <t>m²</t>
        </is>
      </c>
      <c r="F30" s="15" t="inlineStr">
        <is>
          <t>Book</t>
        </is>
      </c>
      <c r="G30" s="15" t="inlineStr">
        <is>
          <t>Unit drawn by hand with known areas</t>
        </is>
      </c>
      <c r="H30" s="15" t="inlineStr">
        <is>
          <t>Within 2% of correct answer</t>
        </is>
      </c>
      <c r="I30" s="16" t="n"/>
      <c r="J30" s="16" t="n"/>
      <c r="K30" s="16" t="n"/>
      <c r="L30" s="25">
        <f>IF(X30="","",X30)</f>
        <v/>
      </c>
      <c r="M30" s="18">
        <f>IF(O30&lt;&gt;"",O30,Y30)</f>
        <v/>
      </c>
      <c r="N30" s="16" t="n"/>
      <c r="O30" s="19" t="n"/>
      <c r="P30" s="19" t="n"/>
      <c r="Q30" s="19" t="n"/>
      <c r="R30" s="20" t="inlineStr">
        <is>
          <t>RERA Act 2016 Sec. 2(k) (carpet)</t>
        </is>
      </c>
      <c r="S30" s="20" t="inlineStr">
        <is>
          <t>n/a</t>
        </is>
      </c>
      <c r="T30" s="20" t="inlineStr">
        <is>
          <t>±%</t>
        </is>
      </c>
      <c r="U30" s="20" t="n"/>
      <c r="V30" s="20" t="n">
        <v>2</v>
      </c>
      <c r="W30" s="20">
        <f>IF(AND(ISNUMBER(I30),ISNUMBER(J30)),I30-J30,"")</f>
        <v/>
      </c>
      <c r="X30" s="20">
        <f>IF(AND(ISNUMBER(I30),ISNUMBER(J30)),IF(J30=0,"",(I30-J30)/ABS(J30)),"")</f>
        <v/>
      </c>
      <c r="Y30" s="20">
        <f>IF(T30="Advisory","No pass mark",IF(T30="Manual","Claude will check",IF(I30="","Not done yet",IF(T30="Exact",IF(AND(ISNUMBER(I30),ISNUMBER(J30)),IF(ROUND(I30,2)=ROUND(J30,2),"Pass","Fail"),IF(TRIM(LOWER(I30&amp;""))=TRIM(LOWER(J30&amp;"")),"Pass","Fail")),IF(T30="Min",IF(I30&gt;=U30-1E-9,"Pass","Fail"),IF(T30="Between",IF(AND(I30&gt;=U30,I30&lt;=V30),"Pass","Fail"),IF(J30="","Not done yet",IF(T30="±%",IF(X30="","Check correct answer",IF(ABS(X30)*100&lt;=V30+1E-9,"Pass","Fail")),IF(T30="% range",IF(X30="","Check correct answer",IF(AND(X30*100&gt;=U30-1E-9,X30*100&lt;=V30+1E-9),"Pass","Fail")),IF(T30="±abs",IF(ABS(W30)&lt;=V30+1E-9,"Pass","Fail"),"Check type"))))))))))</f>
        <v/>
      </c>
    </row>
    <row r="31">
      <c r="A31" s="15" t="inlineStr">
        <is>
          <t>S2-025</t>
        </is>
      </c>
      <c r="B31" s="15" t="inlineStr">
        <is>
          <t>A</t>
        </is>
      </c>
      <c r="C31" s="15" t="inlineStr">
        <is>
          <t>Areas</t>
        </is>
      </c>
      <c r="D31" s="15" t="inlineStr">
        <is>
          <t>Hand unit U9: carpet area</t>
        </is>
      </c>
      <c r="E31" s="15" t="inlineStr">
        <is>
          <t>m²</t>
        </is>
      </c>
      <c r="F31" s="15" t="inlineStr">
        <is>
          <t>Book</t>
        </is>
      </c>
      <c r="G31" s="15" t="inlineStr">
        <is>
          <t>Unit drawn by hand with known areas</t>
        </is>
      </c>
      <c r="H31" s="15" t="inlineStr">
        <is>
          <t>Within 2% of correct answer</t>
        </is>
      </c>
      <c r="I31" s="16" t="n"/>
      <c r="J31" s="16" t="n"/>
      <c r="K31" s="16" t="n"/>
      <c r="L31" s="25">
        <f>IF(X31="","",X31)</f>
        <v/>
      </c>
      <c r="M31" s="18">
        <f>IF(O31&lt;&gt;"",O31,Y31)</f>
        <v/>
      </c>
      <c r="N31" s="16" t="n"/>
      <c r="O31" s="19" t="n"/>
      <c r="P31" s="19" t="n"/>
      <c r="Q31" s="19" t="n"/>
      <c r="R31" s="20" t="inlineStr">
        <is>
          <t>RERA Act 2016 Sec. 2(k) (carpet)</t>
        </is>
      </c>
      <c r="S31" s="20" t="inlineStr">
        <is>
          <t>n/a</t>
        </is>
      </c>
      <c r="T31" s="20" t="inlineStr">
        <is>
          <t>±%</t>
        </is>
      </c>
      <c r="U31" s="20" t="n"/>
      <c r="V31" s="20" t="n">
        <v>2</v>
      </c>
      <c r="W31" s="20">
        <f>IF(AND(ISNUMBER(I31),ISNUMBER(J31)),I31-J31,"")</f>
        <v/>
      </c>
      <c r="X31" s="20">
        <f>IF(AND(ISNUMBER(I31),ISNUMBER(J31)),IF(J31=0,"",(I31-J31)/ABS(J31)),"")</f>
        <v/>
      </c>
      <c r="Y31" s="20">
        <f>IF(T31="Advisory","No pass mark",IF(T31="Manual","Claude will check",IF(I31="","Not done yet",IF(T31="Exact",IF(AND(ISNUMBER(I31),ISNUMBER(J31)),IF(ROUND(I31,2)=ROUND(J31,2),"Pass","Fail"),IF(TRIM(LOWER(I31&amp;""))=TRIM(LOWER(J31&amp;"")),"Pass","Fail")),IF(T31="Min",IF(I31&gt;=U31-1E-9,"Pass","Fail"),IF(T31="Between",IF(AND(I31&gt;=U31,I31&lt;=V31),"Pass","Fail"),IF(J31="","Not done yet",IF(T31="±%",IF(X31="","Check correct answer",IF(ABS(X31)*100&lt;=V31+1E-9,"Pass","Fail")),IF(T31="% range",IF(X31="","Check correct answer",IF(AND(X31*100&gt;=U31-1E-9,X31*100&lt;=V31+1E-9),"Pass","Fail")),IF(T31="±abs",IF(ABS(W31)&lt;=V31+1E-9,"Pass","Fail"),"Check type"))))))))))</f>
        <v/>
      </c>
    </row>
    <row r="32">
      <c r="A32" s="15" t="inlineStr">
        <is>
          <t>S2-026</t>
        </is>
      </c>
      <c r="B32" s="15" t="inlineStr">
        <is>
          <t>A</t>
        </is>
      </c>
      <c r="C32" s="15" t="inlineStr">
        <is>
          <t>Areas</t>
        </is>
      </c>
      <c r="D32" s="15" t="inlineStr">
        <is>
          <t>Hand unit U9: built-up area</t>
        </is>
      </c>
      <c r="E32" s="15" t="inlineStr">
        <is>
          <t>m²</t>
        </is>
      </c>
      <c r="F32" s="15" t="inlineStr">
        <is>
          <t>Book</t>
        </is>
      </c>
      <c r="G32" s="15" t="inlineStr">
        <is>
          <t>Unit drawn by hand with known areas</t>
        </is>
      </c>
      <c r="H32" s="15" t="inlineStr">
        <is>
          <t>Within 2% of correct answer</t>
        </is>
      </c>
      <c r="I32" s="16" t="n"/>
      <c r="J32" s="16" t="n"/>
      <c r="K32" s="16" t="n"/>
      <c r="L32" s="25">
        <f>IF(X32="","",X32)</f>
        <v/>
      </c>
      <c r="M32" s="18">
        <f>IF(O32&lt;&gt;"",O32,Y32)</f>
        <v/>
      </c>
      <c r="N32" s="16" t="n"/>
      <c r="O32" s="19" t="n"/>
      <c r="P32" s="19" t="n"/>
      <c r="Q32" s="19" t="n"/>
      <c r="R32" s="20" t="inlineStr">
        <is>
          <t>RERA Act 2016 Sec. 2(k) (carpet)</t>
        </is>
      </c>
      <c r="S32" s="20" t="inlineStr">
        <is>
          <t>n/a</t>
        </is>
      </c>
      <c r="T32" s="20" t="inlineStr">
        <is>
          <t>±%</t>
        </is>
      </c>
      <c r="U32" s="20" t="n"/>
      <c r="V32" s="20" t="n">
        <v>2</v>
      </c>
      <c r="W32" s="20">
        <f>IF(AND(ISNUMBER(I32),ISNUMBER(J32)),I32-J32,"")</f>
        <v/>
      </c>
      <c r="X32" s="20">
        <f>IF(AND(ISNUMBER(I32),ISNUMBER(J32)),IF(J32=0,"",(I32-J32)/ABS(J32)),"")</f>
        <v/>
      </c>
      <c r="Y32" s="20">
        <f>IF(T32="Advisory","No pass mark",IF(T32="Manual","Claude will check",IF(I32="","Not done yet",IF(T32="Exact",IF(AND(ISNUMBER(I32),ISNUMBER(J32)),IF(ROUND(I32,2)=ROUND(J32,2),"Pass","Fail"),IF(TRIM(LOWER(I32&amp;""))=TRIM(LOWER(J32&amp;"")),"Pass","Fail")),IF(T32="Min",IF(I32&gt;=U32-1E-9,"Pass","Fail"),IF(T32="Between",IF(AND(I32&gt;=U32,I32&lt;=V32),"Pass","Fail"),IF(J32="","Not done yet",IF(T32="±%",IF(X32="","Check correct answer",IF(ABS(X32)*100&lt;=V32+1E-9,"Pass","Fail")),IF(T32="% range",IF(X32="","Check correct answer",IF(AND(X32*100&gt;=U32-1E-9,X32*100&lt;=V32+1E-9),"Pass","Fail")),IF(T32="±abs",IF(ABS(W32)&lt;=V32+1E-9,"Pass","Fail"),"Check type"))))))))))</f>
        <v/>
      </c>
    </row>
    <row r="33">
      <c r="A33" s="15" t="inlineStr">
        <is>
          <t>S2-027</t>
        </is>
      </c>
      <c r="B33" s="15" t="inlineStr">
        <is>
          <t>A</t>
        </is>
      </c>
      <c r="C33" s="15" t="inlineStr">
        <is>
          <t>Areas</t>
        </is>
      </c>
      <c r="D33" s="15" t="inlineStr">
        <is>
          <t>Hand unit U9: super built-up area</t>
        </is>
      </c>
      <c r="E33" s="15" t="inlineStr">
        <is>
          <t>m²</t>
        </is>
      </c>
      <c r="F33" s="15" t="inlineStr">
        <is>
          <t>Book</t>
        </is>
      </c>
      <c r="G33" s="15" t="inlineStr">
        <is>
          <t>Unit drawn by hand with known areas</t>
        </is>
      </c>
      <c r="H33" s="15" t="inlineStr">
        <is>
          <t>Within 2% of correct answer</t>
        </is>
      </c>
      <c r="I33" s="16" t="n"/>
      <c r="J33" s="16" t="n"/>
      <c r="K33" s="16" t="n"/>
      <c r="L33" s="25">
        <f>IF(X33="","",X33)</f>
        <v/>
      </c>
      <c r="M33" s="18">
        <f>IF(O33&lt;&gt;"",O33,Y33)</f>
        <v/>
      </c>
      <c r="N33" s="16" t="n"/>
      <c r="O33" s="19" t="n"/>
      <c r="P33" s="19" t="n"/>
      <c r="Q33" s="19" t="n"/>
      <c r="R33" s="20" t="inlineStr">
        <is>
          <t>RERA Act 2016 Sec. 2(k) (carpet)</t>
        </is>
      </c>
      <c r="S33" s="20" t="inlineStr">
        <is>
          <t>n/a</t>
        </is>
      </c>
      <c r="T33" s="20" t="inlineStr">
        <is>
          <t>±%</t>
        </is>
      </c>
      <c r="U33" s="20" t="n"/>
      <c r="V33" s="20" t="n">
        <v>2</v>
      </c>
      <c r="W33" s="20">
        <f>IF(AND(ISNUMBER(I33),ISNUMBER(J33)),I33-J33,"")</f>
        <v/>
      </c>
      <c r="X33" s="20">
        <f>IF(AND(ISNUMBER(I33),ISNUMBER(J33)),IF(J33=0,"",(I33-J33)/ABS(J33)),"")</f>
        <v/>
      </c>
      <c r="Y33" s="20">
        <f>IF(T33="Advisory","No pass mark",IF(T33="Manual","Claude will check",IF(I33="","Not done yet",IF(T33="Exact",IF(AND(ISNUMBER(I33),ISNUMBER(J33)),IF(ROUND(I33,2)=ROUND(J33,2),"Pass","Fail"),IF(TRIM(LOWER(I33&amp;""))=TRIM(LOWER(J33&amp;"")),"Pass","Fail")),IF(T33="Min",IF(I33&gt;=U33-1E-9,"Pass","Fail"),IF(T33="Between",IF(AND(I33&gt;=U33,I33&lt;=V33),"Pass","Fail"),IF(J33="","Not done yet",IF(T33="±%",IF(X33="","Check correct answer",IF(ABS(X33)*100&lt;=V33+1E-9,"Pass","Fail")),IF(T33="% range",IF(X33="","Check correct answer",IF(AND(X33*100&gt;=U33-1E-9,X33*100&lt;=V33+1E-9),"Pass","Fail")),IF(T33="±abs",IF(ABS(W33)&lt;=V33+1E-9,"Pass","Fail"),"Check type"))))))))))</f>
        <v/>
      </c>
    </row>
    <row r="34">
      <c r="A34" s="15" t="inlineStr">
        <is>
          <t>S2-028</t>
        </is>
      </c>
      <c r="B34" s="15" t="inlineStr">
        <is>
          <t>A</t>
        </is>
      </c>
      <c r="C34" s="15" t="inlineStr">
        <is>
          <t>Areas</t>
        </is>
      </c>
      <c r="D34" s="15" t="inlineStr">
        <is>
          <t>Hand unit U10: carpet area</t>
        </is>
      </c>
      <c r="E34" s="15" t="inlineStr">
        <is>
          <t>m²</t>
        </is>
      </c>
      <c r="F34" s="15" t="inlineStr">
        <is>
          <t>Book</t>
        </is>
      </c>
      <c r="G34" s="15" t="inlineStr">
        <is>
          <t>Unit drawn by hand with known areas</t>
        </is>
      </c>
      <c r="H34" s="15" t="inlineStr">
        <is>
          <t>Within 2% of correct answer</t>
        </is>
      </c>
      <c r="I34" s="16" t="n"/>
      <c r="J34" s="16" t="n"/>
      <c r="K34" s="16" t="n"/>
      <c r="L34" s="25">
        <f>IF(X34="","",X34)</f>
        <v/>
      </c>
      <c r="M34" s="18">
        <f>IF(O34&lt;&gt;"",O34,Y34)</f>
        <v/>
      </c>
      <c r="N34" s="16" t="n"/>
      <c r="O34" s="19" t="n"/>
      <c r="P34" s="19" t="n"/>
      <c r="Q34" s="19" t="n"/>
      <c r="R34" s="20" t="inlineStr">
        <is>
          <t>RERA Act 2016 Sec. 2(k) (carpet)</t>
        </is>
      </c>
      <c r="S34" s="20" t="inlineStr">
        <is>
          <t>n/a</t>
        </is>
      </c>
      <c r="T34" s="20" t="inlineStr">
        <is>
          <t>±%</t>
        </is>
      </c>
      <c r="U34" s="20" t="n"/>
      <c r="V34" s="20" t="n">
        <v>2</v>
      </c>
      <c r="W34" s="20">
        <f>IF(AND(ISNUMBER(I34),ISNUMBER(J34)),I34-J34,"")</f>
        <v/>
      </c>
      <c r="X34" s="20">
        <f>IF(AND(ISNUMBER(I34),ISNUMBER(J34)),IF(J34=0,"",(I34-J34)/ABS(J34)),"")</f>
        <v/>
      </c>
      <c r="Y34" s="20">
        <f>IF(T34="Advisory","No pass mark",IF(T34="Manual","Claude will check",IF(I34="","Not done yet",IF(T34="Exact",IF(AND(ISNUMBER(I34),ISNUMBER(J34)),IF(ROUND(I34,2)=ROUND(J34,2),"Pass","Fail"),IF(TRIM(LOWER(I34&amp;""))=TRIM(LOWER(J34&amp;"")),"Pass","Fail")),IF(T34="Min",IF(I34&gt;=U34-1E-9,"Pass","Fail"),IF(T34="Between",IF(AND(I34&gt;=U34,I34&lt;=V34),"Pass","Fail"),IF(J34="","Not done yet",IF(T34="±%",IF(X34="","Check correct answer",IF(ABS(X34)*100&lt;=V34+1E-9,"Pass","Fail")),IF(T34="% range",IF(X34="","Check correct answer",IF(AND(X34*100&gt;=U34-1E-9,X34*100&lt;=V34+1E-9),"Pass","Fail")),IF(T34="±abs",IF(ABS(W34)&lt;=V34+1E-9,"Pass","Fail"),"Check type"))))))))))</f>
        <v/>
      </c>
    </row>
    <row r="35">
      <c r="A35" s="15" t="inlineStr">
        <is>
          <t>S2-029</t>
        </is>
      </c>
      <c r="B35" s="15" t="inlineStr">
        <is>
          <t>A</t>
        </is>
      </c>
      <c r="C35" s="15" t="inlineStr">
        <is>
          <t>Areas</t>
        </is>
      </c>
      <c r="D35" s="15" t="inlineStr">
        <is>
          <t>Hand unit U10: built-up area</t>
        </is>
      </c>
      <c r="E35" s="15" t="inlineStr">
        <is>
          <t>m²</t>
        </is>
      </c>
      <c r="F35" s="15" t="inlineStr">
        <is>
          <t>Book</t>
        </is>
      </c>
      <c r="G35" s="15" t="inlineStr">
        <is>
          <t>Unit drawn by hand with known areas</t>
        </is>
      </c>
      <c r="H35" s="15" t="inlineStr">
        <is>
          <t>Within 2% of correct answer</t>
        </is>
      </c>
      <c r="I35" s="16" t="n"/>
      <c r="J35" s="16" t="n"/>
      <c r="K35" s="16" t="n"/>
      <c r="L35" s="25">
        <f>IF(X35="","",X35)</f>
        <v/>
      </c>
      <c r="M35" s="18">
        <f>IF(O35&lt;&gt;"",O35,Y35)</f>
        <v/>
      </c>
      <c r="N35" s="16" t="n"/>
      <c r="O35" s="19" t="n"/>
      <c r="P35" s="19" t="n"/>
      <c r="Q35" s="19" t="n"/>
      <c r="R35" s="20" t="inlineStr">
        <is>
          <t>RERA Act 2016 Sec. 2(k) (carpet)</t>
        </is>
      </c>
      <c r="S35" s="20" t="inlineStr">
        <is>
          <t>n/a</t>
        </is>
      </c>
      <c r="T35" s="20" t="inlineStr">
        <is>
          <t>±%</t>
        </is>
      </c>
      <c r="U35" s="20" t="n"/>
      <c r="V35" s="20" t="n">
        <v>2</v>
      </c>
      <c r="W35" s="20">
        <f>IF(AND(ISNUMBER(I35),ISNUMBER(J35)),I35-J35,"")</f>
        <v/>
      </c>
      <c r="X35" s="20">
        <f>IF(AND(ISNUMBER(I35),ISNUMBER(J35)),IF(J35=0,"",(I35-J35)/ABS(J35)),"")</f>
        <v/>
      </c>
      <c r="Y35" s="20">
        <f>IF(T35="Advisory","No pass mark",IF(T35="Manual","Claude will check",IF(I35="","Not done yet",IF(T35="Exact",IF(AND(ISNUMBER(I35),ISNUMBER(J35)),IF(ROUND(I35,2)=ROUND(J35,2),"Pass","Fail"),IF(TRIM(LOWER(I35&amp;""))=TRIM(LOWER(J35&amp;"")),"Pass","Fail")),IF(T35="Min",IF(I35&gt;=U35-1E-9,"Pass","Fail"),IF(T35="Between",IF(AND(I35&gt;=U35,I35&lt;=V35),"Pass","Fail"),IF(J35="","Not done yet",IF(T35="±%",IF(X35="","Check correct answer",IF(ABS(X35)*100&lt;=V35+1E-9,"Pass","Fail")),IF(T35="% range",IF(X35="","Check correct answer",IF(AND(X35*100&gt;=U35-1E-9,X35*100&lt;=V35+1E-9),"Pass","Fail")),IF(T35="±abs",IF(ABS(W35)&lt;=V35+1E-9,"Pass","Fail"),"Check type"))))))))))</f>
        <v/>
      </c>
    </row>
    <row r="36">
      <c r="A36" s="15" t="inlineStr">
        <is>
          <t>S2-030</t>
        </is>
      </c>
      <c r="B36" s="15" t="inlineStr">
        <is>
          <t>A</t>
        </is>
      </c>
      <c r="C36" s="15" t="inlineStr">
        <is>
          <t>Areas</t>
        </is>
      </c>
      <c r="D36" s="15" t="inlineStr">
        <is>
          <t>Hand unit U10: super built-up area</t>
        </is>
      </c>
      <c r="E36" s="15" t="inlineStr">
        <is>
          <t>m²</t>
        </is>
      </c>
      <c r="F36" s="15" t="inlineStr">
        <is>
          <t>Book</t>
        </is>
      </c>
      <c r="G36" s="15" t="inlineStr">
        <is>
          <t>Unit drawn by hand with known areas</t>
        </is>
      </c>
      <c r="H36" s="15" t="inlineStr">
        <is>
          <t>Within 2% of correct answer</t>
        </is>
      </c>
      <c r="I36" s="16" t="n"/>
      <c r="J36" s="16" t="n"/>
      <c r="K36" s="16" t="n"/>
      <c r="L36" s="25">
        <f>IF(X36="","",X36)</f>
        <v/>
      </c>
      <c r="M36" s="18">
        <f>IF(O36&lt;&gt;"",O36,Y36)</f>
        <v/>
      </c>
      <c r="N36" s="16" t="n"/>
      <c r="O36" s="19" t="n"/>
      <c r="P36" s="19" t="n"/>
      <c r="Q36" s="19" t="n"/>
      <c r="R36" s="20" t="inlineStr">
        <is>
          <t>RERA Act 2016 Sec. 2(k) (carpet)</t>
        </is>
      </c>
      <c r="S36" s="20" t="inlineStr">
        <is>
          <t>n/a</t>
        </is>
      </c>
      <c r="T36" s="20" t="inlineStr">
        <is>
          <t>±%</t>
        </is>
      </c>
      <c r="U36" s="20" t="n"/>
      <c r="V36" s="20" t="n">
        <v>2</v>
      </c>
      <c r="W36" s="20">
        <f>IF(AND(ISNUMBER(I36),ISNUMBER(J36)),I36-J36,"")</f>
        <v/>
      </c>
      <c r="X36" s="20">
        <f>IF(AND(ISNUMBER(I36),ISNUMBER(J36)),IF(J36=0,"",(I36-J36)/ABS(J36)),"")</f>
        <v/>
      </c>
      <c r="Y36" s="20">
        <f>IF(T36="Advisory","No pass mark",IF(T36="Manual","Claude will check",IF(I36="","Not done yet",IF(T36="Exact",IF(AND(ISNUMBER(I36),ISNUMBER(J36)),IF(ROUND(I36,2)=ROUND(J36,2),"Pass","Fail"),IF(TRIM(LOWER(I36&amp;""))=TRIM(LOWER(J36&amp;"")),"Pass","Fail")),IF(T36="Min",IF(I36&gt;=U36-1E-9,"Pass","Fail"),IF(T36="Between",IF(AND(I36&gt;=U36,I36&lt;=V36),"Pass","Fail"),IF(J36="","Not done yet",IF(T36="±%",IF(X36="","Check correct answer",IF(ABS(X36)*100&lt;=V36+1E-9,"Pass","Fail")),IF(T36="% range",IF(X36="","Check correct answer",IF(AND(X36*100&gt;=U36-1E-9,X36*100&lt;=V36+1E-9),"Pass","Fail")),IF(T36="±abs",IF(ABS(W36)&lt;=V36+1E-9,"Pass","Fail"),"Check type"))))))))))</f>
        <v/>
      </c>
    </row>
    <row r="37">
      <c r="A37" s="15" t="inlineStr">
        <is>
          <t>S2-031</t>
        </is>
      </c>
      <c r="B37" s="15" t="inlineStr">
        <is>
          <t>A</t>
        </is>
      </c>
      <c r="C37" s="15" t="inlineStr">
        <is>
          <t>Areas</t>
        </is>
      </c>
      <c r="D37" s="15" t="inlineStr">
        <is>
          <t>Carpet ≤ built-up ≤ super built-up for every unit</t>
        </is>
      </c>
      <c r="E37" s="15" t="inlineStr">
        <is>
          <t>Yes/No</t>
        </is>
      </c>
      <c r="F37" s="15" t="inlineStr">
        <is>
          <t>Book</t>
        </is>
      </c>
      <c r="G37" s="15" t="inlineStr">
        <is>
          <t>Rule</t>
        </is>
      </c>
      <c r="H37" s="15" t="inlineStr">
        <is>
          <t>Same as correct answer</t>
        </is>
      </c>
      <c r="I37" s="16" t="n"/>
      <c r="J37" s="16" t="inlineStr">
        <is>
          <t>Yes</t>
        </is>
      </c>
      <c r="K37" s="16" t="n"/>
      <c r="L37" s="17">
        <f>IF(W37="","",W37)</f>
        <v/>
      </c>
      <c r="M37" s="18">
        <f>IF(O37&lt;&gt;"",O37,Y37)</f>
        <v/>
      </c>
      <c r="N37" s="16" t="n"/>
      <c r="O37" s="19" t="n"/>
      <c r="P37" s="19" t="n"/>
      <c r="Q37" s="19" t="n"/>
      <c r="R37" s="20" t="inlineStr">
        <is>
          <t>—</t>
        </is>
      </c>
      <c r="S37" s="20" t="inlineStr">
        <is>
          <t>n/a</t>
        </is>
      </c>
      <c r="T37" s="20" t="inlineStr">
        <is>
          <t>Exact</t>
        </is>
      </c>
      <c r="U37" s="20" t="n"/>
      <c r="V37" s="20" t="n"/>
      <c r="W37" s="20">
        <f>IF(AND(ISNUMBER(I37),ISNUMBER(J37)),I37-J37,"")</f>
        <v/>
      </c>
      <c r="X37" s="20">
        <f>IF(AND(ISNUMBER(I37),ISNUMBER(J37)),IF(J37=0,"",(I37-J37)/ABS(J37)),"")</f>
        <v/>
      </c>
      <c r="Y37" s="20">
        <f>IF(T37="Advisory","No pass mark",IF(T37="Manual","Claude will check",IF(I37="","Not done yet",IF(T37="Exact",IF(AND(ISNUMBER(I37),ISNUMBER(J37)),IF(ROUND(I37,2)=ROUND(J37,2),"Pass","Fail"),IF(TRIM(LOWER(I37&amp;""))=TRIM(LOWER(J37&amp;"")),"Pass","Fail")),IF(T37="Min",IF(I37&gt;=U37-1E-9,"Pass","Fail"),IF(T37="Between",IF(AND(I37&gt;=U37,I37&lt;=V37),"Pass","Fail"),IF(J37="","Not done yet",IF(T37="±%",IF(X37="","Check correct answer",IF(ABS(X37)*100&lt;=V37+1E-9,"Pass","Fail")),IF(T37="% range",IF(X37="","Check correct answer",IF(AND(X37*100&gt;=U37-1E-9,X37*100&lt;=V37+1E-9),"Pass","Fail")),IF(T37="±abs",IF(ABS(W37)&lt;=V37+1E-9,"Pass","Fail"),"Check type"))))))))))</f>
        <v/>
      </c>
    </row>
    <row r="38">
      <c r="A38" s="15" t="inlineStr">
        <is>
          <t>S2-032</t>
        </is>
      </c>
      <c r="B38" s="15" t="inlineStr">
        <is>
          <t>A</t>
        </is>
      </c>
      <c r="C38" s="15" t="inlineStr">
        <is>
          <t>Areas</t>
        </is>
      </c>
      <c r="D38" s="15" t="inlineStr">
        <is>
          <t>RERA project P1: carpet area of a unit type
→ Copy this row once per unit type</t>
        </is>
      </c>
      <c r="E38" s="15" t="inlineStr">
        <is>
          <t>m²</t>
        </is>
      </c>
      <c r="F38" s="15" t="inlineStr">
        <is>
          <t>Real</t>
        </is>
      </c>
      <c r="G38" s="15" t="inlineStr">
        <is>
          <t>RERA carpet area, traced in LibreCAD</t>
        </is>
      </c>
      <c r="H38" s="15" t="inlineStr">
        <is>
          <t>Within 2% of correct answer</t>
        </is>
      </c>
      <c r="I38" s="16" t="n"/>
      <c r="J38" s="16" t="n"/>
      <c r="K38" s="16" t="n"/>
      <c r="L38" s="25">
        <f>IF(X38="","",X38)</f>
        <v/>
      </c>
      <c r="M38" s="18">
        <f>IF(O38&lt;&gt;"",O38,Y38)</f>
        <v/>
      </c>
      <c r="N38" s="16" t="n"/>
      <c r="O38" s="19" t="n"/>
      <c r="P38" s="19" t="n"/>
      <c r="Q38" s="19" t="n"/>
      <c r="R38" s="20" t="inlineStr">
        <is>
          <t>—</t>
        </is>
      </c>
      <c r="S38" s="20" t="inlineStr">
        <is>
          <t>n/a</t>
        </is>
      </c>
      <c r="T38" s="20" t="inlineStr">
        <is>
          <t>±%</t>
        </is>
      </c>
      <c r="U38" s="20" t="n"/>
      <c r="V38" s="20" t="n">
        <v>2</v>
      </c>
      <c r="W38" s="20">
        <f>IF(AND(ISNUMBER(I38),ISNUMBER(J38)),I38-J38,"")</f>
        <v/>
      </c>
      <c r="X38" s="20">
        <f>IF(AND(ISNUMBER(I38),ISNUMBER(J38)),IF(J38=0,"",(I38-J38)/ABS(J38)),"")</f>
        <v/>
      </c>
      <c r="Y38" s="20">
        <f>IF(T38="Advisory","No pass mark",IF(T38="Manual","Claude will check",IF(I38="","Not done yet",IF(T38="Exact",IF(AND(ISNUMBER(I38),ISNUMBER(J38)),IF(ROUND(I38,2)=ROUND(J38,2),"Pass","Fail"),IF(TRIM(LOWER(I38&amp;""))=TRIM(LOWER(J38&amp;"")),"Pass","Fail")),IF(T38="Min",IF(I38&gt;=U38-1E-9,"Pass","Fail"),IF(T38="Between",IF(AND(I38&gt;=U38,I38&lt;=V38),"Pass","Fail"),IF(J38="","Not done yet",IF(T38="±%",IF(X38="","Check correct answer",IF(ABS(X38)*100&lt;=V38+1E-9,"Pass","Fail")),IF(T38="% range",IF(X38="","Check correct answer",IF(AND(X38*100&gt;=U38-1E-9,X38*100&lt;=V38+1E-9),"Pass","Fail")),IF(T38="±abs",IF(ABS(W38)&lt;=V38+1E-9,"Pass","Fail"),"Check type"))))))))))</f>
        <v/>
      </c>
    </row>
    <row r="39">
      <c r="A39" s="15" t="inlineStr">
        <is>
          <t>S2-033</t>
        </is>
      </c>
      <c r="B39" s="15" t="inlineStr">
        <is>
          <t>A</t>
        </is>
      </c>
      <c r="C39" s="15" t="inlineStr">
        <is>
          <t>Areas</t>
        </is>
      </c>
      <c r="D39" s="15" t="inlineStr">
        <is>
          <t>RERA project P2: carpet area of a unit type
→ Copy this row once per unit type</t>
        </is>
      </c>
      <c r="E39" s="15" t="inlineStr">
        <is>
          <t>m²</t>
        </is>
      </c>
      <c r="F39" s="15" t="inlineStr">
        <is>
          <t>Real</t>
        </is>
      </c>
      <c r="G39" s="15" t="inlineStr">
        <is>
          <t>RERA carpet area, traced in LibreCAD</t>
        </is>
      </c>
      <c r="H39" s="15" t="inlineStr">
        <is>
          <t>Within 2% of correct answer</t>
        </is>
      </c>
      <c r="I39" s="16" t="n"/>
      <c r="J39" s="16" t="n"/>
      <c r="K39" s="16" t="n"/>
      <c r="L39" s="25">
        <f>IF(X39="","",X39)</f>
        <v/>
      </c>
      <c r="M39" s="18">
        <f>IF(O39&lt;&gt;"",O39,Y39)</f>
        <v/>
      </c>
      <c r="N39" s="16" t="n"/>
      <c r="O39" s="19" t="n"/>
      <c r="P39" s="19" t="n"/>
      <c r="Q39" s="19" t="n"/>
      <c r="R39" s="20" t="inlineStr">
        <is>
          <t>—</t>
        </is>
      </c>
      <c r="S39" s="20" t="inlineStr">
        <is>
          <t>n/a</t>
        </is>
      </c>
      <c r="T39" s="20" t="inlineStr">
        <is>
          <t>±%</t>
        </is>
      </c>
      <c r="U39" s="20" t="n"/>
      <c r="V39" s="20" t="n">
        <v>2</v>
      </c>
      <c r="W39" s="20">
        <f>IF(AND(ISNUMBER(I39),ISNUMBER(J39)),I39-J39,"")</f>
        <v/>
      </c>
      <c r="X39" s="20">
        <f>IF(AND(ISNUMBER(I39),ISNUMBER(J39)),IF(J39=0,"",(I39-J39)/ABS(J39)),"")</f>
        <v/>
      </c>
      <c r="Y39" s="20">
        <f>IF(T39="Advisory","No pass mark",IF(T39="Manual","Claude will check",IF(I39="","Not done yet",IF(T39="Exact",IF(AND(ISNUMBER(I39),ISNUMBER(J39)),IF(ROUND(I39,2)=ROUND(J39,2),"Pass","Fail"),IF(TRIM(LOWER(I39&amp;""))=TRIM(LOWER(J39&amp;"")),"Pass","Fail")),IF(T39="Min",IF(I39&gt;=U39-1E-9,"Pass","Fail"),IF(T39="Between",IF(AND(I39&gt;=U39,I39&lt;=V39),"Pass","Fail"),IF(J39="","Not done yet",IF(T39="±%",IF(X39="","Check correct answer",IF(ABS(X39)*100&lt;=V39+1E-9,"Pass","Fail")),IF(T39="% range",IF(X39="","Check correct answer",IF(AND(X39*100&gt;=U39-1E-9,X39*100&lt;=V39+1E-9),"Pass","Fail")),IF(T39="±abs",IF(ABS(W39)&lt;=V39+1E-9,"Pass","Fail"),"Check type"))))))))))</f>
        <v/>
      </c>
    </row>
    <row r="40">
      <c r="A40" s="15" t="inlineStr">
        <is>
          <t>S2-034</t>
        </is>
      </c>
      <c r="B40" s="15" t="inlineStr">
        <is>
          <t>A</t>
        </is>
      </c>
      <c r="C40" s="15" t="inlineStr">
        <is>
          <t>Areas</t>
        </is>
      </c>
      <c r="D40" s="15" t="inlineStr">
        <is>
          <t>RERA project P3: carpet area of a unit type
→ Copy this row once per unit type</t>
        </is>
      </c>
      <c r="E40" s="15" t="inlineStr">
        <is>
          <t>m²</t>
        </is>
      </c>
      <c r="F40" s="15" t="inlineStr">
        <is>
          <t>Real</t>
        </is>
      </c>
      <c r="G40" s="15" t="inlineStr">
        <is>
          <t>RERA carpet area, traced in LibreCAD</t>
        </is>
      </c>
      <c r="H40" s="15" t="inlineStr">
        <is>
          <t>Within 2% of correct answer</t>
        </is>
      </c>
      <c r="I40" s="16" t="n"/>
      <c r="J40" s="16" t="n"/>
      <c r="K40" s="16" t="n"/>
      <c r="L40" s="25">
        <f>IF(X40="","",X40)</f>
        <v/>
      </c>
      <c r="M40" s="18">
        <f>IF(O40&lt;&gt;"",O40,Y40)</f>
        <v/>
      </c>
      <c r="N40" s="16" t="n"/>
      <c r="O40" s="19" t="n"/>
      <c r="P40" s="19" t="n"/>
      <c r="Q40" s="19" t="n"/>
      <c r="R40" s="20" t="inlineStr">
        <is>
          <t>—</t>
        </is>
      </c>
      <c r="S40" s="20" t="inlineStr">
        <is>
          <t>n/a</t>
        </is>
      </c>
      <c r="T40" s="20" t="inlineStr">
        <is>
          <t>±%</t>
        </is>
      </c>
      <c r="U40" s="20" t="n"/>
      <c r="V40" s="20" t="n">
        <v>2</v>
      </c>
      <c r="W40" s="20">
        <f>IF(AND(ISNUMBER(I40),ISNUMBER(J40)),I40-J40,"")</f>
        <v/>
      </c>
      <c r="X40" s="20">
        <f>IF(AND(ISNUMBER(I40),ISNUMBER(J40)),IF(J40=0,"",(I40-J40)/ABS(J40)),"")</f>
        <v/>
      </c>
      <c r="Y40" s="20">
        <f>IF(T40="Advisory","No pass mark",IF(T40="Manual","Claude will check",IF(I40="","Not done yet",IF(T40="Exact",IF(AND(ISNUMBER(I40),ISNUMBER(J40)),IF(ROUND(I40,2)=ROUND(J40,2),"Pass","Fail"),IF(TRIM(LOWER(I40&amp;""))=TRIM(LOWER(J40&amp;"")),"Pass","Fail")),IF(T40="Min",IF(I40&gt;=U40-1E-9,"Pass","Fail"),IF(T40="Between",IF(AND(I40&gt;=U40,I40&lt;=V40),"Pass","Fail"),IF(J40="","Not done yet",IF(T40="±%",IF(X40="","Check correct answer",IF(ABS(X40)*100&lt;=V40+1E-9,"Pass","Fail")),IF(T40="% range",IF(X40="","Check correct answer",IF(AND(X40*100&gt;=U40-1E-9,X40*100&lt;=V40+1E-9),"Pass","Fail")),IF(T40="±abs",IF(ABS(W40)&lt;=V40+1E-9,"Pass","Fail"),"Check type"))))))))))</f>
        <v/>
      </c>
    </row>
    <row r="41">
      <c r="A41" s="15" t="inlineStr">
        <is>
          <t>S2-035</t>
        </is>
      </c>
      <c r="B41" s="15" t="inlineStr">
        <is>
          <t>A</t>
        </is>
      </c>
      <c r="C41" s="15" t="inlineStr">
        <is>
          <t>Areas</t>
        </is>
      </c>
      <c r="D41" s="15" t="inlineStr">
        <is>
          <t>RERA project P4: carpet area of a unit type
→ Copy this row once per unit type</t>
        </is>
      </c>
      <c r="E41" s="15" t="inlineStr">
        <is>
          <t>m²</t>
        </is>
      </c>
      <c r="F41" s="15" t="inlineStr">
        <is>
          <t>Real</t>
        </is>
      </c>
      <c r="G41" s="15" t="inlineStr">
        <is>
          <t>RERA carpet area, traced in LibreCAD</t>
        </is>
      </c>
      <c r="H41" s="15" t="inlineStr">
        <is>
          <t>Within 2% of correct answer</t>
        </is>
      </c>
      <c r="I41" s="16" t="n"/>
      <c r="J41" s="16" t="n"/>
      <c r="K41" s="16" t="n"/>
      <c r="L41" s="25">
        <f>IF(X41="","",X41)</f>
        <v/>
      </c>
      <c r="M41" s="18">
        <f>IF(O41&lt;&gt;"",O41,Y41)</f>
        <v/>
      </c>
      <c r="N41" s="16" t="n"/>
      <c r="O41" s="19" t="n"/>
      <c r="P41" s="19" t="n"/>
      <c r="Q41" s="19" t="n"/>
      <c r="R41" s="20" t="inlineStr">
        <is>
          <t>—</t>
        </is>
      </c>
      <c r="S41" s="20" t="inlineStr">
        <is>
          <t>n/a</t>
        </is>
      </c>
      <c r="T41" s="20" t="inlineStr">
        <is>
          <t>±%</t>
        </is>
      </c>
      <c r="U41" s="20" t="n"/>
      <c r="V41" s="20" t="n">
        <v>2</v>
      </c>
      <c r="W41" s="20">
        <f>IF(AND(ISNUMBER(I41),ISNUMBER(J41)),I41-J41,"")</f>
        <v/>
      </c>
      <c r="X41" s="20">
        <f>IF(AND(ISNUMBER(I41),ISNUMBER(J41)),IF(J41=0,"",(I41-J41)/ABS(J41)),"")</f>
        <v/>
      </c>
      <c r="Y41" s="20">
        <f>IF(T41="Advisory","No pass mark",IF(T41="Manual","Claude will check",IF(I41="","Not done yet",IF(T41="Exact",IF(AND(ISNUMBER(I41),ISNUMBER(J41)),IF(ROUND(I41,2)=ROUND(J41,2),"Pass","Fail"),IF(TRIM(LOWER(I41&amp;""))=TRIM(LOWER(J41&amp;"")),"Pass","Fail")),IF(T41="Min",IF(I41&gt;=U41-1E-9,"Pass","Fail"),IF(T41="Between",IF(AND(I41&gt;=U41,I41&lt;=V41),"Pass","Fail"),IF(J41="","Not done yet",IF(T41="±%",IF(X41="","Check correct answer",IF(ABS(X41)*100&lt;=V41+1E-9,"Pass","Fail")),IF(T41="% range",IF(X41="","Check correct answer",IF(AND(X41*100&gt;=U41-1E-9,X41*100&lt;=V41+1E-9),"Pass","Fail")),IF(T41="±abs",IF(ABS(W41)&lt;=V41+1E-9,"Pass","Fail"),"Check type"))))))))))</f>
        <v/>
      </c>
    </row>
    <row r="42">
      <c r="A42" s="15" t="inlineStr">
        <is>
          <t>S2-036</t>
        </is>
      </c>
      <c r="B42" s="15" t="inlineStr">
        <is>
          <t>A</t>
        </is>
      </c>
      <c r="C42" s="15" t="inlineStr">
        <is>
          <t>Areas</t>
        </is>
      </c>
      <c r="D42" s="15" t="inlineStr">
        <is>
          <t>RERA project P5: carpet area of a unit type
→ Copy this row once per unit type</t>
        </is>
      </c>
      <c r="E42" s="15" t="inlineStr">
        <is>
          <t>m²</t>
        </is>
      </c>
      <c r="F42" s="15" t="inlineStr">
        <is>
          <t>Real</t>
        </is>
      </c>
      <c r="G42" s="15" t="inlineStr">
        <is>
          <t>RERA carpet area, traced in LibreCAD</t>
        </is>
      </c>
      <c r="H42" s="15" t="inlineStr">
        <is>
          <t>Within 2% of correct answer</t>
        </is>
      </c>
      <c r="I42" s="16" t="n"/>
      <c r="J42" s="16" t="n"/>
      <c r="K42" s="16" t="n"/>
      <c r="L42" s="25">
        <f>IF(X42="","",X42)</f>
        <v/>
      </c>
      <c r="M42" s="18">
        <f>IF(O42&lt;&gt;"",O42,Y42)</f>
        <v/>
      </c>
      <c r="N42" s="16" t="n"/>
      <c r="O42" s="19" t="n"/>
      <c r="P42" s="19" t="n"/>
      <c r="Q42" s="19" t="n"/>
      <c r="R42" s="20" t="inlineStr">
        <is>
          <t>—</t>
        </is>
      </c>
      <c r="S42" s="20" t="inlineStr">
        <is>
          <t>n/a</t>
        </is>
      </c>
      <c r="T42" s="20" t="inlineStr">
        <is>
          <t>±%</t>
        </is>
      </c>
      <c r="U42" s="20" t="n"/>
      <c r="V42" s="20" t="n">
        <v>2</v>
      </c>
      <c r="W42" s="20">
        <f>IF(AND(ISNUMBER(I42),ISNUMBER(J42)),I42-J42,"")</f>
        <v/>
      </c>
      <c r="X42" s="20">
        <f>IF(AND(ISNUMBER(I42),ISNUMBER(J42)),IF(J42=0,"",(I42-J42)/ABS(J42)),"")</f>
        <v/>
      </c>
      <c r="Y42" s="20">
        <f>IF(T42="Advisory","No pass mark",IF(T42="Manual","Claude will check",IF(I42="","Not done yet",IF(T42="Exact",IF(AND(ISNUMBER(I42),ISNUMBER(J42)),IF(ROUND(I42,2)=ROUND(J42,2),"Pass","Fail"),IF(TRIM(LOWER(I42&amp;""))=TRIM(LOWER(J42&amp;"")),"Pass","Fail")),IF(T42="Min",IF(I42&gt;=U42-1E-9,"Pass","Fail"),IF(T42="Between",IF(AND(I42&gt;=U42,I42&lt;=V42),"Pass","Fail"),IF(J42="","Not done yet",IF(T42="±%",IF(X42="","Check correct answer",IF(ABS(X42)*100&lt;=V42+1E-9,"Pass","Fail")),IF(T42="% range",IF(X42="","Check correct answer",IF(AND(X42*100&gt;=U42-1E-9,X42*100&lt;=V42+1E-9),"Pass","Fail")),IF(T42="±abs",IF(ABS(W42)&lt;=V42+1E-9,"Pass","Fail"),"Check type"))))))))))</f>
        <v/>
      </c>
    </row>
    <row r="43">
      <c r="A43" s="15" t="inlineStr">
        <is>
          <t>S2-037</t>
        </is>
      </c>
      <c r="B43" s="15" t="inlineStr">
        <is>
          <t>A</t>
        </is>
      </c>
      <c r="C43" s="15" t="inlineStr">
        <is>
          <t>FAR and coverage</t>
        </is>
      </c>
      <c r="D43" s="15" t="inlineStr">
        <is>
          <t>Test plot T1: FAR and coverage verdict
→ Write which side of the limit this plot sits</t>
        </is>
      </c>
      <c r="E43" s="15" t="inlineStr">
        <is>
          <t>Pass/Fail</t>
        </is>
      </c>
      <c r="F43" s="15" t="inlineStr">
        <is>
          <t>Book</t>
        </is>
      </c>
      <c r="G43" s="15" t="inlineStr">
        <is>
          <t>Plot built at, just below or just above the limit</t>
        </is>
      </c>
      <c r="H43" s="15" t="inlineStr">
        <is>
          <t>Same as correct answer</t>
        </is>
      </c>
      <c r="I43" s="16" t="n"/>
      <c r="J43" s="16" t="n"/>
      <c r="K43" s="16" t="n"/>
      <c r="L43" s="17">
        <f>IF(W43="","",W43)</f>
        <v/>
      </c>
      <c r="M43" s="18">
        <f>IF(O43&lt;&gt;"",O43,Y43)</f>
        <v/>
      </c>
      <c r="N43" s="16" t="n"/>
      <c r="O43" s="19" t="n"/>
      <c r="P43" s="19" t="n"/>
      <c r="Q43" s="19" t="n"/>
      <c r="R43" s="20" t="inlineStr">
        <is>
          <t>Karnataka zoning (RMP-2015)</t>
        </is>
      </c>
      <c r="S43" s="20" t="inlineStr">
        <is>
          <t>RMP-2015</t>
        </is>
      </c>
      <c r="T43" s="20" t="inlineStr">
        <is>
          <t>Exact</t>
        </is>
      </c>
      <c r="U43" s="20" t="n"/>
      <c r="V43" s="20" t="n"/>
      <c r="W43" s="20">
        <f>IF(AND(ISNUMBER(I43),ISNUMBER(J43)),I43-J43,"")</f>
        <v/>
      </c>
      <c r="X43" s="20">
        <f>IF(AND(ISNUMBER(I43),ISNUMBER(J43)),IF(J43=0,"",(I43-J43)/ABS(J43)),"")</f>
        <v/>
      </c>
      <c r="Y43" s="20">
        <f>IF(T43="Advisory","No pass mark",IF(T43="Manual","Claude will check",IF(I43="","Not done yet",IF(T43="Exact",IF(AND(ISNUMBER(I43),ISNUMBER(J43)),IF(ROUND(I43,2)=ROUND(J43,2),"Pass","Fail"),IF(TRIM(LOWER(I43&amp;""))=TRIM(LOWER(J43&amp;"")),"Pass","Fail")),IF(T43="Min",IF(I43&gt;=U43-1E-9,"Pass","Fail"),IF(T43="Between",IF(AND(I43&gt;=U43,I43&lt;=V43),"Pass","Fail"),IF(J43="","Not done yet",IF(T43="±%",IF(X43="","Check correct answer",IF(ABS(X43)*100&lt;=V43+1E-9,"Pass","Fail")),IF(T43="% range",IF(X43="","Check correct answer",IF(AND(X43*100&gt;=U43-1E-9,X43*100&lt;=V43+1E-9),"Pass","Fail")),IF(T43="±abs",IF(ABS(W43)&lt;=V43+1E-9,"Pass","Fail"),"Check type"))))))))))</f>
        <v/>
      </c>
    </row>
    <row r="44">
      <c r="A44" s="15" t="inlineStr">
        <is>
          <t>S2-038</t>
        </is>
      </c>
      <c r="B44" s="15" t="inlineStr">
        <is>
          <t>A</t>
        </is>
      </c>
      <c r="C44" s="15" t="inlineStr">
        <is>
          <t>FAR and coverage</t>
        </is>
      </c>
      <c r="D44" s="15" t="inlineStr">
        <is>
          <t>Test plot T2: FAR and coverage verdict
→ Write which side of the limit this plot sits</t>
        </is>
      </c>
      <c r="E44" s="15" t="inlineStr">
        <is>
          <t>Pass/Fail</t>
        </is>
      </c>
      <c r="F44" s="15" t="inlineStr">
        <is>
          <t>Book</t>
        </is>
      </c>
      <c r="G44" s="15" t="inlineStr">
        <is>
          <t>Plot built at, just below or just above the limit</t>
        </is>
      </c>
      <c r="H44" s="15" t="inlineStr">
        <is>
          <t>Same as correct answer</t>
        </is>
      </c>
      <c r="I44" s="16" t="n"/>
      <c r="J44" s="16" t="n"/>
      <c r="K44" s="16" t="n"/>
      <c r="L44" s="17">
        <f>IF(W44="","",W44)</f>
        <v/>
      </c>
      <c r="M44" s="18">
        <f>IF(O44&lt;&gt;"",O44,Y44)</f>
        <v/>
      </c>
      <c r="N44" s="16" t="n"/>
      <c r="O44" s="19" t="n"/>
      <c r="P44" s="19" t="n"/>
      <c r="Q44" s="19" t="n"/>
      <c r="R44" s="20" t="inlineStr">
        <is>
          <t>Karnataka zoning (RMP-2015)</t>
        </is>
      </c>
      <c r="S44" s="20" t="inlineStr">
        <is>
          <t>RMP-2015</t>
        </is>
      </c>
      <c r="T44" s="20" t="inlineStr">
        <is>
          <t>Exact</t>
        </is>
      </c>
      <c r="U44" s="20" t="n"/>
      <c r="V44" s="20" t="n"/>
      <c r="W44" s="20">
        <f>IF(AND(ISNUMBER(I44),ISNUMBER(J44)),I44-J44,"")</f>
        <v/>
      </c>
      <c r="X44" s="20">
        <f>IF(AND(ISNUMBER(I44),ISNUMBER(J44)),IF(J44=0,"",(I44-J44)/ABS(J44)),"")</f>
        <v/>
      </c>
      <c r="Y44" s="20">
        <f>IF(T44="Advisory","No pass mark",IF(T44="Manual","Claude will check",IF(I44="","Not done yet",IF(T44="Exact",IF(AND(ISNUMBER(I44),ISNUMBER(J44)),IF(ROUND(I44,2)=ROUND(J44,2),"Pass","Fail"),IF(TRIM(LOWER(I44&amp;""))=TRIM(LOWER(J44&amp;"")),"Pass","Fail")),IF(T44="Min",IF(I44&gt;=U44-1E-9,"Pass","Fail"),IF(T44="Between",IF(AND(I44&gt;=U44,I44&lt;=V44),"Pass","Fail"),IF(J44="","Not done yet",IF(T44="±%",IF(X44="","Check correct answer",IF(ABS(X44)*100&lt;=V44+1E-9,"Pass","Fail")),IF(T44="% range",IF(X44="","Check correct answer",IF(AND(X44*100&gt;=U44-1E-9,X44*100&lt;=V44+1E-9),"Pass","Fail")),IF(T44="±abs",IF(ABS(W44)&lt;=V44+1E-9,"Pass","Fail"),"Check type"))))))))))</f>
        <v/>
      </c>
    </row>
    <row r="45">
      <c r="A45" s="15" t="inlineStr">
        <is>
          <t>S2-039</t>
        </is>
      </c>
      <c r="B45" s="15" t="inlineStr">
        <is>
          <t>A</t>
        </is>
      </c>
      <c r="C45" s="15" t="inlineStr">
        <is>
          <t>FAR and coverage</t>
        </is>
      </c>
      <c r="D45" s="15" t="inlineStr">
        <is>
          <t>Test plot T3: FAR and coverage verdict
→ Write which side of the limit this plot sits</t>
        </is>
      </c>
      <c r="E45" s="15" t="inlineStr">
        <is>
          <t>Pass/Fail</t>
        </is>
      </c>
      <c r="F45" s="15" t="inlineStr">
        <is>
          <t>Book</t>
        </is>
      </c>
      <c r="G45" s="15" t="inlineStr">
        <is>
          <t>Plot built at, just below or just above the limit</t>
        </is>
      </c>
      <c r="H45" s="15" t="inlineStr">
        <is>
          <t>Same as correct answer</t>
        </is>
      </c>
      <c r="I45" s="16" t="n"/>
      <c r="J45" s="16" t="n"/>
      <c r="K45" s="16" t="n"/>
      <c r="L45" s="17">
        <f>IF(W45="","",W45)</f>
        <v/>
      </c>
      <c r="M45" s="18">
        <f>IF(O45&lt;&gt;"",O45,Y45)</f>
        <v/>
      </c>
      <c r="N45" s="16" t="n"/>
      <c r="O45" s="19" t="n"/>
      <c r="P45" s="19" t="n"/>
      <c r="Q45" s="19" t="n"/>
      <c r="R45" s="20" t="inlineStr">
        <is>
          <t>Karnataka zoning (RMP-2015)</t>
        </is>
      </c>
      <c r="S45" s="20" t="inlineStr">
        <is>
          <t>RMP-2015</t>
        </is>
      </c>
      <c r="T45" s="20" t="inlineStr">
        <is>
          <t>Exact</t>
        </is>
      </c>
      <c r="U45" s="20" t="n"/>
      <c r="V45" s="20" t="n"/>
      <c r="W45" s="20">
        <f>IF(AND(ISNUMBER(I45),ISNUMBER(J45)),I45-J45,"")</f>
        <v/>
      </c>
      <c r="X45" s="20">
        <f>IF(AND(ISNUMBER(I45),ISNUMBER(J45)),IF(J45=0,"",(I45-J45)/ABS(J45)),"")</f>
        <v/>
      </c>
      <c r="Y45" s="20">
        <f>IF(T45="Advisory","No pass mark",IF(T45="Manual","Claude will check",IF(I45="","Not done yet",IF(T45="Exact",IF(AND(ISNUMBER(I45),ISNUMBER(J45)),IF(ROUND(I45,2)=ROUND(J45,2),"Pass","Fail"),IF(TRIM(LOWER(I45&amp;""))=TRIM(LOWER(J45&amp;"")),"Pass","Fail")),IF(T45="Min",IF(I45&gt;=U45-1E-9,"Pass","Fail"),IF(T45="Between",IF(AND(I45&gt;=U45,I45&lt;=V45),"Pass","Fail"),IF(J45="","Not done yet",IF(T45="±%",IF(X45="","Check correct answer",IF(ABS(X45)*100&lt;=V45+1E-9,"Pass","Fail")),IF(T45="% range",IF(X45="","Check correct answer",IF(AND(X45*100&gt;=U45-1E-9,X45*100&lt;=V45+1E-9),"Pass","Fail")),IF(T45="±abs",IF(ABS(W45)&lt;=V45+1E-9,"Pass","Fail"),"Check type"))))))))))</f>
        <v/>
      </c>
    </row>
    <row r="46">
      <c r="A46" s="15" t="inlineStr">
        <is>
          <t>S2-040</t>
        </is>
      </c>
      <c r="B46" s="15" t="inlineStr">
        <is>
          <t>A</t>
        </is>
      </c>
      <c r="C46" s="15" t="inlineStr">
        <is>
          <t>FAR and coverage</t>
        </is>
      </c>
      <c r="D46" s="15" t="inlineStr">
        <is>
          <t>Test plot T4: FAR and coverage verdict
→ Write which side of the limit this plot sits</t>
        </is>
      </c>
      <c r="E46" s="15" t="inlineStr">
        <is>
          <t>Pass/Fail</t>
        </is>
      </c>
      <c r="F46" s="15" t="inlineStr">
        <is>
          <t>Book</t>
        </is>
      </c>
      <c r="G46" s="15" t="inlineStr">
        <is>
          <t>Plot built at, just below or just above the limit</t>
        </is>
      </c>
      <c r="H46" s="15" t="inlineStr">
        <is>
          <t>Same as correct answer</t>
        </is>
      </c>
      <c r="I46" s="16" t="n"/>
      <c r="J46" s="16" t="n"/>
      <c r="K46" s="16" t="n"/>
      <c r="L46" s="17">
        <f>IF(W46="","",W46)</f>
        <v/>
      </c>
      <c r="M46" s="18">
        <f>IF(O46&lt;&gt;"",O46,Y46)</f>
        <v/>
      </c>
      <c r="N46" s="16" t="n"/>
      <c r="O46" s="19" t="n"/>
      <c r="P46" s="19" t="n"/>
      <c r="Q46" s="19" t="n"/>
      <c r="R46" s="20" t="inlineStr">
        <is>
          <t>Karnataka zoning (RMP-2015)</t>
        </is>
      </c>
      <c r="S46" s="20" t="inlineStr">
        <is>
          <t>RMP-2015</t>
        </is>
      </c>
      <c r="T46" s="20" t="inlineStr">
        <is>
          <t>Exact</t>
        </is>
      </c>
      <c r="U46" s="20" t="n"/>
      <c r="V46" s="20" t="n"/>
      <c r="W46" s="20">
        <f>IF(AND(ISNUMBER(I46),ISNUMBER(J46)),I46-J46,"")</f>
        <v/>
      </c>
      <c r="X46" s="20">
        <f>IF(AND(ISNUMBER(I46),ISNUMBER(J46)),IF(J46=0,"",(I46-J46)/ABS(J46)),"")</f>
        <v/>
      </c>
      <c r="Y46" s="20">
        <f>IF(T46="Advisory","No pass mark",IF(T46="Manual","Claude will check",IF(I46="","Not done yet",IF(T46="Exact",IF(AND(ISNUMBER(I46),ISNUMBER(J46)),IF(ROUND(I46,2)=ROUND(J46,2),"Pass","Fail"),IF(TRIM(LOWER(I46&amp;""))=TRIM(LOWER(J46&amp;"")),"Pass","Fail")),IF(T46="Min",IF(I46&gt;=U46-1E-9,"Pass","Fail"),IF(T46="Between",IF(AND(I46&gt;=U46,I46&lt;=V46),"Pass","Fail"),IF(J46="","Not done yet",IF(T46="±%",IF(X46="","Check correct answer",IF(ABS(X46)*100&lt;=V46+1E-9,"Pass","Fail")),IF(T46="% range",IF(X46="","Check correct answer",IF(AND(X46*100&gt;=U46-1E-9,X46*100&lt;=V46+1E-9),"Pass","Fail")),IF(T46="±abs",IF(ABS(W46)&lt;=V46+1E-9,"Pass","Fail"),"Check type"))))))))))</f>
        <v/>
      </c>
    </row>
    <row r="47">
      <c r="A47" s="15" t="inlineStr">
        <is>
          <t>S2-041</t>
        </is>
      </c>
      <c r="B47" s="15" t="inlineStr">
        <is>
          <t>A</t>
        </is>
      </c>
      <c r="C47" s="15" t="inlineStr">
        <is>
          <t>FAR and coverage</t>
        </is>
      </c>
      <c r="D47" s="15" t="inlineStr">
        <is>
          <t>Test plot T5: FAR and coverage verdict
→ Write which side of the limit this plot sits</t>
        </is>
      </c>
      <c r="E47" s="15" t="inlineStr">
        <is>
          <t>Pass/Fail</t>
        </is>
      </c>
      <c r="F47" s="15" t="inlineStr">
        <is>
          <t>Book</t>
        </is>
      </c>
      <c r="G47" s="15" t="inlineStr">
        <is>
          <t>Plot built at, just below or just above the limit</t>
        </is>
      </c>
      <c r="H47" s="15" t="inlineStr">
        <is>
          <t>Same as correct answer</t>
        </is>
      </c>
      <c r="I47" s="16" t="n"/>
      <c r="J47" s="16" t="n"/>
      <c r="K47" s="16" t="n"/>
      <c r="L47" s="17">
        <f>IF(W47="","",W47)</f>
        <v/>
      </c>
      <c r="M47" s="18">
        <f>IF(O47&lt;&gt;"",O47,Y47)</f>
        <v/>
      </c>
      <c r="N47" s="16" t="n"/>
      <c r="O47" s="19" t="n"/>
      <c r="P47" s="19" t="n"/>
      <c r="Q47" s="19" t="n"/>
      <c r="R47" s="20" t="inlineStr">
        <is>
          <t>Karnataka zoning (RMP-2015)</t>
        </is>
      </c>
      <c r="S47" s="20" t="inlineStr">
        <is>
          <t>RMP-2015</t>
        </is>
      </c>
      <c r="T47" s="20" t="inlineStr">
        <is>
          <t>Exact</t>
        </is>
      </c>
      <c r="U47" s="20" t="n"/>
      <c r="V47" s="20" t="n"/>
      <c r="W47" s="20">
        <f>IF(AND(ISNUMBER(I47),ISNUMBER(J47)),I47-J47,"")</f>
        <v/>
      </c>
      <c r="X47" s="20">
        <f>IF(AND(ISNUMBER(I47),ISNUMBER(J47)),IF(J47=0,"",(I47-J47)/ABS(J47)),"")</f>
        <v/>
      </c>
      <c r="Y47" s="20">
        <f>IF(T47="Advisory","No pass mark",IF(T47="Manual","Claude will check",IF(I47="","Not done yet",IF(T47="Exact",IF(AND(ISNUMBER(I47),ISNUMBER(J47)),IF(ROUND(I47,2)=ROUND(J47,2),"Pass","Fail"),IF(TRIM(LOWER(I47&amp;""))=TRIM(LOWER(J47&amp;"")),"Pass","Fail")),IF(T47="Min",IF(I47&gt;=U47-1E-9,"Pass","Fail"),IF(T47="Between",IF(AND(I47&gt;=U47,I47&lt;=V47),"Pass","Fail"),IF(J47="","Not done yet",IF(T47="±%",IF(X47="","Check correct answer",IF(ABS(X47)*100&lt;=V47+1E-9,"Pass","Fail")),IF(T47="% range",IF(X47="","Check correct answer",IF(AND(X47*100&gt;=U47-1E-9,X47*100&lt;=V47+1E-9),"Pass","Fail")),IF(T47="±abs",IF(ABS(W47)&lt;=V47+1E-9,"Pass","Fail"),"Check type"))))))))))</f>
        <v/>
      </c>
    </row>
    <row r="48">
      <c r="A48" s="15" t="inlineStr">
        <is>
          <t>S2-042</t>
        </is>
      </c>
      <c r="B48" s="15" t="inlineStr">
        <is>
          <t>A</t>
        </is>
      </c>
      <c r="C48" s="15" t="inlineStr">
        <is>
          <t>FAR and coverage</t>
        </is>
      </c>
      <c r="D48" s="15" t="inlineStr">
        <is>
          <t>Test plot T6: FAR and coverage verdict
→ Write which side of the limit this plot sits</t>
        </is>
      </c>
      <c r="E48" s="15" t="inlineStr">
        <is>
          <t>Pass/Fail</t>
        </is>
      </c>
      <c r="F48" s="15" t="inlineStr">
        <is>
          <t>Book</t>
        </is>
      </c>
      <c r="G48" s="15" t="inlineStr">
        <is>
          <t>Plot built at, just below or just above the limit</t>
        </is>
      </c>
      <c r="H48" s="15" t="inlineStr">
        <is>
          <t>Same as correct answer</t>
        </is>
      </c>
      <c r="I48" s="16" t="n"/>
      <c r="J48" s="16" t="n"/>
      <c r="K48" s="16" t="n"/>
      <c r="L48" s="17">
        <f>IF(W48="","",W48)</f>
        <v/>
      </c>
      <c r="M48" s="18">
        <f>IF(O48&lt;&gt;"",O48,Y48)</f>
        <v/>
      </c>
      <c r="N48" s="16" t="n"/>
      <c r="O48" s="19" t="n"/>
      <c r="P48" s="19" t="n"/>
      <c r="Q48" s="19" t="n"/>
      <c r="R48" s="20" t="inlineStr">
        <is>
          <t>Karnataka zoning (RMP-2015)</t>
        </is>
      </c>
      <c r="S48" s="20" t="inlineStr">
        <is>
          <t>RMP-2015</t>
        </is>
      </c>
      <c r="T48" s="20" t="inlineStr">
        <is>
          <t>Exact</t>
        </is>
      </c>
      <c r="U48" s="20" t="n"/>
      <c r="V48" s="20" t="n"/>
      <c r="W48" s="20">
        <f>IF(AND(ISNUMBER(I48),ISNUMBER(J48)),I48-J48,"")</f>
        <v/>
      </c>
      <c r="X48" s="20">
        <f>IF(AND(ISNUMBER(I48),ISNUMBER(J48)),IF(J48=0,"",(I48-J48)/ABS(J48)),"")</f>
        <v/>
      </c>
      <c r="Y48" s="20">
        <f>IF(T48="Advisory","No pass mark",IF(T48="Manual","Claude will check",IF(I48="","Not done yet",IF(T48="Exact",IF(AND(ISNUMBER(I48),ISNUMBER(J48)),IF(ROUND(I48,2)=ROUND(J48,2),"Pass","Fail"),IF(TRIM(LOWER(I48&amp;""))=TRIM(LOWER(J48&amp;"")),"Pass","Fail")),IF(T48="Min",IF(I48&gt;=U48-1E-9,"Pass","Fail"),IF(T48="Between",IF(AND(I48&gt;=U48,I48&lt;=V48),"Pass","Fail"),IF(J48="","Not done yet",IF(T48="±%",IF(X48="","Check correct answer",IF(ABS(X48)*100&lt;=V48+1E-9,"Pass","Fail")),IF(T48="% range",IF(X48="","Check correct answer",IF(AND(X48*100&gt;=U48-1E-9,X48*100&lt;=V48+1E-9),"Pass","Fail")),IF(T48="±abs",IF(ABS(W48)&lt;=V48+1E-9,"Pass","Fail"),"Check type"))))))))))</f>
        <v/>
      </c>
    </row>
    <row r="49">
      <c r="A49" s="15" t="inlineStr">
        <is>
          <t>S2-043</t>
        </is>
      </c>
      <c r="B49" s="15" t="inlineStr">
        <is>
          <t>A</t>
        </is>
      </c>
      <c r="C49" s="15" t="inlineStr">
        <is>
          <t>FAR and coverage</t>
        </is>
      </c>
      <c r="D49" s="15" t="inlineStr">
        <is>
          <t>Test plot T7: FAR and coverage verdict
→ Write which side of the limit this plot sits</t>
        </is>
      </c>
      <c r="E49" s="15" t="inlineStr">
        <is>
          <t>Pass/Fail</t>
        </is>
      </c>
      <c r="F49" s="15" t="inlineStr">
        <is>
          <t>Book</t>
        </is>
      </c>
      <c r="G49" s="15" t="inlineStr">
        <is>
          <t>Plot built at, just below or just above the limit</t>
        </is>
      </c>
      <c r="H49" s="15" t="inlineStr">
        <is>
          <t>Same as correct answer</t>
        </is>
      </c>
      <c r="I49" s="16" t="n"/>
      <c r="J49" s="16" t="n"/>
      <c r="K49" s="16" t="n"/>
      <c r="L49" s="17">
        <f>IF(W49="","",W49)</f>
        <v/>
      </c>
      <c r="M49" s="18">
        <f>IF(O49&lt;&gt;"",O49,Y49)</f>
        <v/>
      </c>
      <c r="N49" s="16" t="n"/>
      <c r="O49" s="19" t="n"/>
      <c r="P49" s="19" t="n"/>
      <c r="Q49" s="19" t="n"/>
      <c r="R49" s="20" t="inlineStr">
        <is>
          <t>Karnataka zoning (RMP-2015)</t>
        </is>
      </c>
      <c r="S49" s="20" t="inlineStr">
        <is>
          <t>RMP-2015</t>
        </is>
      </c>
      <c r="T49" s="20" t="inlineStr">
        <is>
          <t>Exact</t>
        </is>
      </c>
      <c r="U49" s="20" t="n"/>
      <c r="V49" s="20" t="n"/>
      <c r="W49" s="20">
        <f>IF(AND(ISNUMBER(I49),ISNUMBER(J49)),I49-J49,"")</f>
        <v/>
      </c>
      <c r="X49" s="20">
        <f>IF(AND(ISNUMBER(I49),ISNUMBER(J49)),IF(J49=0,"",(I49-J49)/ABS(J49)),"")</f>
        <v/>
      </c>
      <c r="Y49" s="20">
        <f>IF(T49="Advisory","No pass mark",IF(T49="Manual","Claude will check",IF(I49="","Not done yet",IF(T49="Exact",IF(AND(ISNUMBER(I49),ISNUMBER(J49)),IF(ROUND(I49,2)=ROUND(J49,2),"Pass","Fail"),IF(TRIM(LOWER(I49&amp;""))=TRIM(LOWER(J49&amp;"")),"Pass","Fail")),IF(T49="Min",IF(I49&gt;=U49-1E-9,"Pass","Fail"),IF(T49="Between",IF(AND(I49&gt;=U49,I49&lt;=V49),"Pass","Fail"),IF(J49="","Not done yet",IF(T49="±%",IF(X49="","Check correct answer",IF(ABS(X49)*100&lt;=V49+1E-9,"Pass","Fail")),IF(T49="% range",IF(X49="","Check correct answer",IF(AND(X49*100&gt;=U49-1E-9,X49*100&lt;=V49+1E-9),"Pass","Fail")),IF(T49="±abs",IF(ABS(W49)&lt;=V49+1E-9,"Pass","Fail"),"Check type"))))))))))</f>
        <v/>
      </c>
    </row>
    <row r="50">
      <c r="A50" s="15" t="inlineStr">
        <is>
          <t>S2-044</t>
        </is>
      </c>
      <c r="B50" s="15" t="inlineStr">
        <is>
          <t>A</t>
        </is>
      </c>
      <c r="C50" s="15" t="inlineStr">
        <is>
          <t>FAR and coverage</t>
        </is>
      </c>
      <c r="D50" s="15" t="inlineStr">
        <is>
          <t>Test plot T8: FAR and coverage verdict
→ Write which side of the limit this plot sits</t>
        </is>
      </c>
      <c r="E50" s="15" t="inlineStr">
        <is>
          <t>Pass/Fail</t>
        </is>
      </c>
      <c r="F50" s="15" t="inlineStr">
        <is>
          <t>Book</t>
        </is>
      </c>
      <c r="G50" s="15" t="inlineStr">
        <is>
          <t>Plot built at, just below or just above the limit</t>
        </is>
      </c>
      <c r="H50" s="15" t="inlineStr">
        <is>
          <t>Same as correct answer</t>
        </is>
      </c>
      <c r="I50" s="16" t="n"/>
      <c r="J50" s="16" t="n"/>
      <c r="K50" s="16" t="n"/>
      <c r="L50" s="17">
        <f>IF(W50="","",W50)</f>
        <v/>
      </c>
      <c r="M50" s="18">
        <f>IF(O50&lt;&gt;"",O50,Y50)</f>
        <v/>
      </c>
      <c r="N50" s="16" t="n"/>
      <c r="O50" s="19" t="n"/>
      <c r="P50" s="19" t="n"/>
      <c r="Q50" s="19" t="n"/>
      <c r="R50" s="20" t="inlineStr">
        <is>
          <t>Karnataka zoning (RMP-2015)</t>
        </is>
      </c>
      <c r="S50" s="20" t="inlineStr">
        <is>
          <t>RMP-2015</t>
        </is>
      </c>
      <c r="T50" s="20" t="inlineStr">
        <is>
          <t>Exact</t>
        </is>
      </c>
      <c r="U50" s="20" t="n"/>
      <c r="V50" s="20" t="n"/>
      <c r="W50" s="20">
        <f>IF(AND(ISNUMBER(I50),ISNUMBER(J50)),I50-J50,"")</f>
        <v/>
      </c>
      <c r="X50" s="20">
        <f>IF(AND(ISNUMBER(I50),ISNUMBER(J50)),IF(J50=0,"",(I50-J50)/ABS(J50)),"")</f>
        <v/>
      </c>
      <c r="Y50" s="20">
        <f>IF(T50="Advisory","No pass mark",IF(T50="Manual","Claude will check",IF(I50="","Not done yet",IF(T50="Exact",IF(AND(ISNUMBER(I50),ISNUMBER(J50)),IF(ROUND(I50,2)=ROUND(J50,2),"Pass","Fail"),IF(TRIM(LOWER(I50&amp;""))=TRIM(LOWER(J50&amp;"")),"Pass","Fail")),IF(T50="Min",IF(I50&gt;=U50-1E-9,"Pass","Fail"),IF(T50="Between",IF(AND(I50&gt;=U50,I50&lt;=V50),"Pass","Fail"),IF(J50="","Not done yet",IF(T50="±%",IF(X50="","Check correct answer",IF(ABS(X50)*100&lt;=V50+1E-9,"Pass","Fail")),IF(T50="% range",IF(X50="","Check correct answer",IF(AND(X50*100&gt;=U50-1E-9,X50*100&lt;=V50+1E-9),"Pass","Fail")),IF(T50="±abs",IF(ABS(W50)&lt;=V50+1E-9,"Pass","Fail"),"Check type"))))))))))</f>
        <v/>
      </c>
    </row>
    <row r="51">
      <c r="A51" s="15" t="inlineStr">
        <is>
          <t>S2-045</t>
        </is>
      </c>
      <c r="B51" s="15" t="inlineStr">
        <is>
          <t>A</t>
        </is>
      </c>
      <c r="C51" s="15" t="inlineStr">
        <is>
          <t>FAR and coverage</t>
        </is>
      </c>
      <c r="D51" s="15" t="inlineStr">
        <is>
          <t>Test plot T9: FAR and coverage verdict
→ Write which side of the limit this plot sits</t>
        </is>
      </c>
      <c r="E51" s="15" t="inlineStr">
        <is>
          <t>Pass/Fail</t>
        </is>
      </c>
      <c r="F51" s="15" t="inlineStr">
        <is>
          <t>Book</t>
        </is>
      </c>
      <c r="G51" s="15" t="inlineStr">
        <is>
          <t>Plot built at, just below or just above the limit</t>
        </is>
      </c>
      <c r="H51" s="15" t="inlineStr">
        <is>
          <t>Same as correct answer</t>
        </is>
      </c>
      <c r="I51" s="16" t="n"/>
      <c r="J51" s="16" t="n"/>
      <c r="K51" s="16" t="n"/>
      <c r="L51" s="17">
        <f>IF(W51="","",W51)</f>
        <v/>
      </c>
      <c r="M51" s="18">
        <f>IF(O51&lt;&gt;"",O51,Y51)</f>
        <v/>
      </c>
      <c r="N51" s="16" t="n"/>
      <c r="O51" s="19" t="n"/>
      <c r="P51" s="19" t="n"/>
      <c r="Q51" s="19" t="n"/>
      <c r="R51" s="20" t="inlineStr">
        <is>
          <t>Karnataka zoning (RMP-2015)</t>
        </is>
      </c>
      <c r="S51" s="20" t="inlineStr">
        <is>
          <t>RMP-2015</t>
        </is>
      </c>
      <c r="T51" s="20" t="inlineStr">
        <is>
          <t>Exact</t>
        </is>
      </c>
      <c r="U51" s="20" t="n"/>
      <c r="V51" s="20" t="n"/>
      <c r="W51" s="20">
        <f>IF(AND(ISNUMBER(I51),ISNUMBER(J51)),I51-J51,"")</f>
        <v/>
      </c>
      <c r="X51" s="20">
        <f>IF(AND(ISNUMBER(I51),ISNUMBER(J51)),IF(J51=0,"",(I51-J51)/ABS(J51)),"")</f>
        <v/>
      </c>
      <c r="Y51" s="20">
        <f>IF(T51="Advisory","No pass mark",IF(T51="Manual","Claude will check",IF(I51="","Not done yet",IF(T51="Exact",IF(AND(ISNUMBER(I51),ISNUMBER(J51)),IF(ROUND(I51,2)=ROUND(J51,2),"Pass","Fail"),IF(TRIM(LOWER(I51&amp;""))=TRIM(LOWER(J51&amp;"")),"Pass","Fail")),IF(T51="Min",IF(I51&gt;=U51-1E-9,"Pass","Fail"),IF(T51="Between",IF(AND(I51&gt;=U51,I51&lt;=V51),"Pass","Fail"),IF(J51="","Not done yet",IF(T51="±%",IF(X51="","Check correct answer",IF(ABS(X51)*100&lt;=V51+1E-9,"Pass","Fail")),IF(T51="% range",IF(X51="","Check correct answer",IF(AND(X51*100&gt;=U51-1E-9,X51*100&lt;=V51+1E-9),"Pass","Fail")),IF(T51="±abs",IF(ABS(W51)&lt;=V51+1E-9,"Pass","Fail"),"Check type"))))))))))</f>
        <v/>
      </c>
    </row>
    <row r="52">
      <c r="A52" s="15" t="inlineStr">
        <is>
          <t>S2-046</t>
        </is>
      </c>
      <c r="B52" s="15" t="inlineStr">
        <is>
          <t>A</t>
        </is>
      </c>
      <c r="C52" s="15" t="inlineStr">
        <is>
          <t>FAR and coverage</t>
        </is>
      </c>
      <c r="D52" s="15" t="inlineStr">
        <is>
          <t>Test plot T10: FAR and coverage verdict
→ Write which side of the limit this plot sits</t>
        </is>
      </c>
      <c r="E52" s="15" t="inlineStr">
        <is>
          <t>Pass/Fail</t>
        </is>
      </c>
      <c r="F52" s="15" t="inlineStr">
        <is>
          <t>Book</t>
        </is>
      </c>
      <c r="G52" s="15" t="inlineStr">
        <is>
          <t>Plot built at, just below or just above the limit</t>
        </is>
      </c>
      <c r="H52" s="15" t="inlineStr">
        <is>
          <t>Same as correct answer</t>
        </is>
      </c>
      <c r="I52" s="16" t="n"/>
      <c r="J52" s="16" t="n"/>
      <c r="K52" s="16" t="n"/>
      <c r="L52" s="17">
        <f>IF(W52="","",W52)</f>
        <v/>
      </c>
      <c r="M52" s="18">
        <f>IF(O52&lt;&gt;"",O52,Y52)</f>
        <v/>
      </c>
      <c r="N52" s="16" t="n"/>
      <c r="O52" s="19" t="n"/>
      <c r="P52" s="19" t="n"/>
      <c r="Q52" s="19" t="n"/>
      <c r="R52" s="20" t="inlineStr">
        <is>
          <t>Karnataka zoning (RMP-2015)</t>
        </is>
      </c>
      <c r="S52" s="20" t="inlineStr">
        <is>
          <t>RMP-2015</t>
        </is>
      </c>
      <c r="T52" s="20" t="inlineStr">
        <is>
          <t>Exact</t>
        </is>
      </c>
      <c r="U52" s="20" t="n"/>
      <c r="V52" s="20" t="n"/>
      <c r="W52" s="20">
        <f>IF(AND(ISNUMBER(I52),ISNUMBER(J52)),I52-J52,"")</f>
        <v/>
      </c>
      <c r="X52" s="20">
        <f>IF(AND(ISNUMBER(I52),ISNUMBER(J52)),IF(J52=0,"",(I52-J52)/ABS(J52)),"")</f>
        <v/>
      </c>
      <c r="Y52" s="20">
        <f>IF(T52="Advisory","No pass mark",IF(T52="Manual","Claude will check",IF(I52="","Not done yet",IF(T52="Exact",IF(AND(ISNUMBER(I52),ISNUMBER(J52)),IF(ROUND(I52,2)=ROUND(J52,2),"Pass","Fail"),IF(TRIM(LOWER(I52&amp;""))=TRIM(LOWER(J52&amp;"")),"Pass","Fail")),IF(T52="Min",IF(I52&gt;=U52-1E-9,"Pass","Fail"),IF(T52="Between",IF(AND(I52&gt;=U52,I52&lt;=V52),"Pass","Fail"),IF(J52="","Not done yet",IF(T52="±%",IF(X52="","Check correct answer",IF(ABS(X52)*100&lt;=V52+1E-9,"Pass","Fail")),IF(T52="% range",IF(X52="","Check correct answer",IF(AND(X52*100&gt;=U52-1E-9,X52*100&lt;=V52+1E-9),"Pass","Fail")),IF(T52="±abs",IF(ABS(W52)&lt;=V52+1E-9,"Pass","Fail"),"Check type"))))))))))</f>
        <v/>
      </c>
    </row>
    <row r="53">
      <c r="A53" s="15" t="inlineStr">
        <is>
          <t>S2-047</t>
        </is>
      </c>
      <c r="B53" s="15" t="inlineStr">
        <is>
          <t>A</t>
        </is>
      </c>
      <c r="C53" s="15" t="inlineStr">
        <is>
          <t>FAR and coverage</t>
        </is>
      </c>
      <c r="D53" s="15" t="inlineStr">
        <is>
          <t>RERA project P1: FAR</t>
        </is>
      </c>
      <c r="E53" s="15" t="inlineStr">
        <is>
          <t>ratio</t>
        </is>
      </c>
      <c r="F53" s="15" t="inlineStr">
        <is>
          <t>Real</t>
        </is>
      </c>
      <c r="G53" s="15" t="inlineStr">
        <is>
          <t>FAR printed on sanctioned plan</t>
        </is>
      </c>
      <c r="H53" s="15" t="inlineStr">
        <is>
          <t>Within 1% of correct answer</t>
        </is>
      </c>
      <c r="I53" s="16" t="n"/>
      <c r="J53" s="16" t="n"/>
      <c r="K53" s="16" t="n"/>
      <c r="L53" s="25">
        <f>IF(X53="","",X53)</f>
        <v/>
      </c>
      <c r="M53" s="18">
        <f>IF(O53&lt;&gt;"",O53,Y53)</f>
        <v/>
      </c>
      <c r="N53" s="16" t="n"/>
      <c r="O53" s="19" t="n"/>
      <c r="P53" s="19" t="n"/>
      <c r="Q53" s="19" t="n"/>
      <c r="R53" s="20" t="inlineStr">
        <is>
          <t>—</t>
        </is>
      </c>
      <c r="S53" s="20" t="inlineStr">
        <is>
          <t>RMP-2015</t>
        </is>
      </c>
      <c r="T53" s="20" t="inlineStr">
        <is>
          <t>±%</t>
        </is>
      </c>
      <c r="U53" s="20" t="n"/>
      <c r="V53" s="20" t="n">
        <v>1</v>
      </c>
      <c r="W53" s="20">
        <f>IF(AND(ISNUMBER(I53),ISNUMBER(J53)),I53-J53,"")</f>
        <v/>
      </c>
      <c r="X53" s="20">
        <f>IF(AND(ISNUMBER(I53),ISNUMBER(J53)),IF(J53=0,"",(I53-J53)/ABS(J53)),"")</f>
        <v/>
      </c>
      <c r="Y53" s="20">
        <f>IF(T53="Advisory","No pass mark",IF(T53="Manual","Claude will check",IF(I53="","Not done yet",IF(T53="Exact",IF(AND(ISNUMBER(I53),ISNUMBER(J53)),IF(ROUND(I53,2)=ROUND(J53,2),"Pass","Fail"),IF(TRIM(LOWER(I53&amp;""))=TRIM(LOWER(J53&amp;"")),"Pass","Fail")),IF(T53="Min",IF(I53&gt;=U53-1E-9,"Pass","Fail"),IF(T53="Between",IF(AND(I53&gt;=U53,I53&lt;=V53),"Pass","Fail"),IF(J53="","Not done yet",IF(T53="±%",IF(X53="","Check correct answer",IF(ABS(X53)*100&lt;=V53+1E-9,"Pass","Fail")),IF(T53="% range",IF(X53="","Check correct answer",IF(AND(X53*100&gt;=U53-1E-9,X53*100&lt;=V53+1E-9),"Pass","Fail")),IF(T53="±abs",IF(ABS(W53)&lt;=V53+1E-9,"Pass","Fail"),"Check type"))))))))))</f>
        <v/>
      </c>
    </row>
    <row r="54">
      <c r="A54" s="15" t="inlineStr">
        <is>
          <t>S2-048</t>
        </is>
      </c>
      <c r="B54" s="15" t="inlineStr">
        <is>
          <t>A</t>
        </is>
      </c>
      <c r="C54" s="15" t="inlineStr">
        <is>
          <t>FAR and coverage</t>
        </is>
      </c>
      <c r="D54" s="15" t="inlineStr">
        <is>
          <t>RERA project P1: ground coverage</t>
        </is>
      </c>
      <c r="E54" s="15" t="inlineStr">
        <is>
          <t>%</t>
        </is>
      </c>
      <c r="F54" s="15" t="inlineStr">
        <is>
          <t>Real</t>
        </is>
      </c>
      <c r="G54" s="15" t="inlineStr">
        <is>
          <t>Coverage printed on sanctioned plan</t>
        </is>
      </c>
      <c r="H54" s="15" t="inlineStr">
        <is>
          <t>Within 1% of correct answer</t>
        </is>
      </c>
      <c r="I54" s="16" t="n"/>
      <c r="J54" s="16" t="n"/>
      <c r="K54" s="16" t="n"/>
      <c r="L54" s="25">
        <f>IF(X54="","",X54)</f>
        <v/>
      </c>
      <c r="M54" s="18">
        <f>IF(O54&lt;&gt;"",O54,Y54)</f>
        <v/>
      </c>
      <c r="N54" s="16" t="n"/>
      <c r="O54" s="19" t="n"/>
      <c r="P54" s="19" t="n"/>
      <c r="Q54" s="19" t="n"/>
      <c r="R54" s="20" t="inlineStr">
        <is>
          <t>—</t>
        </is>
      </c>
      <c r="S54" s="20" t="inlineStr">
        <is>
          <t>RMP-2015</t>
        </is>
      </c>
      <c r="T54" s="20" t="inlineStr">
        <is>
          <t>±%</t>
        </is>
      </c>
      <c r="U54" s="20" t="n"/>
      <c r="V54" s="20" t="n">
        <v>1</v>
      </c>
      <c r="W54" s="20">
        <f>IF(AND(ISNUMBER(I54),ISNUMBER(J54)),I54-J54,"")</f>
        <v/>
      </c>
      <c r="X54" s="20">
        <f>IF(AND(ISNUMBER(I54),ISNUMBER(J54)),IF(J54=0,"",(I54-J54)/ABS(J54)),"")</f>
        <v/>
      </c>
      <c r="Y54" s="20">
        <f>IF(T54="Advisory","No pass mark",IF(T54="Manual","Claude will check",IF(I54="","Not done yet",IF(T54="Exact",IF(AND(ISNUMBER(I54),ISNUMBER(J54)),IF(ROUND(I54,2)=ROUND(J54,2),"Pass","Fail"),IF(TRIM(LOWER(I54&amp;""))=TRIM(LOWER(J54&amp;"")),"Pass","Fail")),IF(T54="Min",IF(I54&gt;=U54-1E-9,"Pass","Fail"),IF(T54="Between",IF(AND(I54&gt;=U54,I54&lt;=V54),"Pass","Fail"),IF(J54="","Not done yet",IF(T54="±%",IF(X54="","Check correct answer",IF(ABS(X54)*100&lt;=V54+1E-9,"Pass","Fail")),IF(T54="% range",IF(X54="","Check correct answer",IF(AND(X54*100&gt;=U54-1E-9,X54*100&lt;=V54+1E-9),"Pass","Fail")),IF(T54="±abs",IF(ABS(W54)&lt;=V54+1E-9,"Pass","Fail"),"Check type"))))))))))</f>
        <v/>
      </c>
    </row>
    <row r="55">
      <c r="A55" s="15" t="inlineStr">
        <is>
          <t>S2-049</t>
        </is>
      </c>
      <c r="B55" s="15" t="inlineStr">
        <is>
          <t>A</t>
        </is>
      </c>
      <c r="C55" s="15" t="inlineStr">
        <is>
          <t>FAR and coverage</t>
        </is>
      </c>
      <c r="D55" s="15" t="inlineStr">
        <is>
          <t>RERA project P2: FAR</t>
        </is>
      </c>
      <c r="E55" s="15" t="inlineStr">
        <is>
          <t>ratio</t>
        </is>
      </c>
      <c r="F55" s="15" t="inlineStr">
        <is>
          <t>Real</t>
        </is>
      </c>
      <c r="G55" s="15" t="inlineStr">
        <is>
          <t>FAR printed on sanctioned plan</t>
        </is>
      </c>
      <c r="H55" s="15" t="inlineStr">
        <is>
          <t>Within 1% of correct answer</t>
        </is>
      </c>
      <c r="I55" s="16" t="n"/>
      <c r="J55" s="16" t="n"/>
      <c r="K55" s="16" t="n"/>
      <c r="L55" s="25">
        <f>IF(X55="","",X55)</f>
        <v/>
      </c>
      <c r="M55" s="18">
        <f>IF(O55&lt;&gt;"",O55,Y55)</f>
        <v/>
      </c>
      <c r="N55" s="16" t="n"/>
      <c r="O55" s="19" t="n"/>
      <c r="P55" s="19" t="n"/>
      <c r="Q55" s="19" t="n"/>
      <c r="R55" s="20" t="inlineStr">
        <is>
          <t>—</t>
        </is>
      </c>
      <c r="S55" s="20" t="inlineStr">
        <is>
          <t>RMP-2015</t>
        </is>
      </c>
      <c r="T55" s="20" t="inlineStr">
        <is>
          <t>±%</t>
        </is>
      </c>
      <c r="U55" s="20" t="n"/>
      <c r="V55" s="20" t="n">
        <v>1</v>
      </c>
      <c r="W55" s="20">
        <f>IF(AND(ISNUMBER(I55),ISNUMBER(J55)),I55-J55,"")</f>
        <v/>
      </c>
      <c r="X55" s="20">
        <f>IF(AND(ISNUMBER(I55),ISNUMBER(J55)),IF(J55=0,"",(I55-J55)/ABS(J55)),"")</f>
        <v/>
      </c>
      <c r="Y55" s="20">
        <f>IF(T55="Advisory","No pass mark",IF(T55="Manual","Claude will check",IF(I55="","Not done yet",IF(T55="Exact",IF(AND(ISNUMBER(I55),ISNUMBER(J55)),IF(ROUND(I55,2)=ROUND(J55,2),"Pass","Fail"),IF(TRIM(LOWER(I55&amp;""))=TRIM(LOWER(J55&amp;"")),"Pass","Fail")),IF(T55="Min",IF(I55&gt;=U55-1E-9,"Pass","Fail"),IF(T55="Between",IF(AND(I55&gt;=U55,I55&lt;=V55),"Pass","Fail"),IF(J55="","Not done yet",IF(T55="±%",IF(X55="","Check correct answer",IF(ABS(X55)*100&lt;=V55+1E-9,"Pass","Fail")),IF(T55="% range",IF(X55="","Check correct answer",IF(AND(X55*100&gt;=U55-1E-9,X55*100&lt;=V55+1E-9),"Pass","Fail")),IF(T55="±abs",IF(ABS(W55)&lt;=V55+1E-9,"Pass","Fail"),"Check type"))))))))))</f>
        <v/>
      </c>
    </row>
    <row r="56">
      <c r="A56" s="15" t="inlineStr">
        <is>
          <t>S2-050</t>
        </is>
      </c>
      <c r="B56" s="15" t="inlineStr">
        <is>
          <t>A</t>
        </is>
      </c>
      <c r="C56" s="15" t="inlineStr">
        <is>
          <t>FAR and coverage</t>
        </is>
      </c>
      <c r="D56" s="15" t="inlineStr">
        <is>
          <t>RERA project P2: ground coverage</t>
        </is>
      </c>
      <c r="E56" s="15" t="inlineStr">
        <is>
          <t>%</t>
        </is>
      </c>
      <c r="F56" s="15" t="inlineStr">
        <is>
          <t>Real</t>
        </is>
      </c>
      <c r="G56" s="15" t="inlineStr">
        <is>
          <t>Coverage printed on sanctioned plan</t>
        </is>
      </c>
      <c r="H56" s="15" t="inlineStr">
        <is>
          <t>Within 1% of correct answer</t>
        </is>
      </c>
      <c r="I56" s="16" t="n"/>
      <c r="J56" s="16" t="n"/>
      <c r="K56" s="16" t="n"/>
      <c r="L56" s="25">
        <f>IF(X56="","",X56)</f>
        <v/>
      </c>
      <c r="M56" s="18">
        <f>IF(O56&lt;&gt;"",O56,Y56)</f>
        <v/>
      </c>
      <c r="N56" s="16" t="n"/>
      <c r="O56" s="19" t="n"/>
      <c r="P56" s="19" t="n"/>
      <c r="Q56" s="19" t="n"/>
      <c r="R56" s="20" t="inlineStr">
        <is>
          <t>—</t>
        </is>
      </c>
      <c r="S56" s="20" t="inlineStr">
        <is>
          <t>RMP-2015</t>
        </is>
      </c>
      <c r="T56" s="20" t="inlineStr">
        <is>
          <t>±%</t>
        </is>
      </c>
      <c r="U56" s="20" t="n"/>
      <c r="V56" s="20" t="n">
        <v>1</v>
      </c>
      <c r="W56" s="20">
        <f>IF(AND(ISNUMBER(I56),ISNUMBER(J56)),I56-J56,"")</f>
        <v/>
      </c>
      <c r="X56" s="20">
        <f>IF(AND(ISNUMBER(I56),ISNUMBER(J56)),IF(J56=0,"",(I56-J56)/ABS(J56)),"")</f>
        <v/>
      </c>
      <c r="Y56" s="20">
        <f>IF(T56="Advisory","No pass mark",IF(T56="Manual","Claude will check",IF(I56="","Not done yet",IF(T56="Exact",IF(AND(ISNUMBER(I56),ISNUMBER(J56)),IF(ROUND(I56,2)=ROUND(J56,2),"Pass","Fail"),IF(TRIM(LOWER(I56&amp;""))=TRIM(LOWER(J56&amp;"")),"Pass","Fail")),IF(T56="Min",IF(I56&gt;=U56-1E-9,"Pass","Fail"),IF(T56="Between",IF(AND(I56&gt;=U56,I56&lt;=V56),"Pass","Fail"),IF(J56="","Not done yet",IF(T56="±%",IF(X56="","Check correct answer",IF(ABS(X56)*100&lt;=V56+1E-9,"Pass","Fail")),IF(T56="% range",IF(X56="","Check correct answer",IF(AND(X56*100&gt;=U56-1E-9,X56*100&lt;=V56+1E-9),"Pass","Fail")),IF(T56="±abs",IF(ABS(W56)&lt;=V56+1E-9,"Pass","Fail"),"Check type"))))))))))</f>
        <v/>
      </c>
    </row>
    <row r="57">
      <c r="A57" s="15" t="inlineStr">
        <is>
          <t>S2-051</t>
        </is>
      </c>
      <c r="B57" s="15" t="inlineStr">
        <is>
          <t>A</t>
        </is>
      </c>
      <c r="C57" s="15" t="inlineStr">
        <is>
          <t>FAR and coverage</t>
        </is>
      </c>
      <c r="D57" s="15" t="inlineStr">
        <is>
          <t>RERA project P3: FAR</t>
        </is>
      </c>
      <c r="E57" s="15" t="inlineStr">
        <is>
          <t>ratio</t>
        </is>
      </c>
      <c r="F57" s="15" t="inlineStr">
        <is>
          <t>Real</t>
        </is>
      </c>
      <c r="G57" s="15" t="inlineStr">
        <is>
          <t>FAR printed on sanctioned plan</t>
        </is>
      </c>
      <c r="H57" s="15" t="inlineStr">
        <is>
          <t>Within 1% of correct answer</t>
        </is>
      </c>
      <c r="I57" s="16" t="n"/>
      <c r="J57" s="16" t="n"/>
      <c r="K57" s="16" t="n"/>
      <c r="L57" s="25">
        <f>IF(X57="","",X57)</f>
        <v/>
      </c>
      <c r="M57" s="18">
        <f>IF(O57&lt;&gt;"",O57,Y57)</f>
        <v/>
      </c>
      <c r="N57" s="16" t="n"/>
      <c r="O57" s="19" t="n"/>
      <c r="P57" s="19" t="n"/>
      <c r="Q57" s="19" t="n"/>
      <c r="R57" s="20" t="inlineStr">
        <is>
          <t>—</t>
        </is>
      </c>
      <c r="S57" s="20" t="inlineStr">
        <is>
          <t>RMP-2015</t>
        </is>
      </c>
      <c r="T57" s="20" t="inlineStr">
        <is>
          <t>±%</t>
        </is>
      </c>
      <c r="U57" s="20" t="n"/>
      <c r="V57" s="20" t="n">
        <v>1</v>
      </c>
      <c r="W57" s="20">
        <f>IF(AND(ISNUMBER(I57),ISNUMBER(J57)),I57-J57,"")</f>
        <v/>
      </c>
      <c r="X57" s="20">
        <f>IF(AND(ISNUMBER(I57),ISNUMBER(J57)),IF(J57=0,"",(I57-J57)/ABS(J57)),"")</f>
        <v/>
      </c>
      <c r="Y57" s="20">
        <f>IF(T57="Advisory","No pass mark",IF(T57="Manual","Claude will check",IF(I57="","Not done yet",IF(T57="Exact",IF(AND(ISNUMBER(I57),ISNUMBER(J57)),IF(ROUND(I57,2)=ROUND(J57,2),"Pass","Fail"),IF(TRIM(LOWER(I57&amp;""))=TRIM(LOWER(J57&amp;"")),"Pass","Fail")),IF(T57="Min",IF(I57&gt;=U57-1E-9,"Pass","Fail"),IF(T57="Between",IF(AND(I57&gt;=U57,I57&lt;=V57),"Pass","Fail"),IF(J57="","Not done yet",IF(T57="±%",IF(X57="","Check correct answer",IF(ABS(X57)*100&lt;=V57+1E-9,"Pass","Fail")),IF(T57="% range",IF(X57="","Check correct answer",IF(AND(X57*100&gt;=U57-1E-9,X57*100&lt;=V57+1E-9),"Pass","Fail")),IF(T57="±abs",IF(ABS(W57)&lt;=V57+1E-9,"Pass","Fail"),"Check type"))))))))))</f>
        <v/>
      </c>
    </row>
    <row r="58">
      <c r="A58" s="15" t="inlineStr">
        <is>
          <t>S2-052</t>
        </is>
      </c>
      <c r="B58" s="15" t="inlineStr">
        <is>
          <t>A</t>
        </is>
      </c>
      <c r="C58" s="15" t="inlineStr">
        <is>
          <t>FAR and coverage</t>
        </is>
      </c>
      <c r="D58" s="15" t="inlineStr">
        <is>
          <t>RERA project P3: ground coverage</t>
        </is>
      </c>
      <c r="E58" s="15" t="inlineStr">
        <is>
          <t>%</t>
        </is>
      </c>
      <c r="F58" s="15" t="inlineStr">
        <is>
          <t>Real</t>
        </is>
      </c>
      <c r="G58" s="15" t="inlineStr">
        <is>
          <t>Coverage printed on sanctioned plan</t>
        </is>
      </c>
      <c r="H58" s="15" t="inlineStr">
        <is>
          <t>Within 1% of correct answer</t>
        </is>
      </c>
      <c r="I58" s="16" t="n"/>
      <c r="J58" s="16" t="n"/>
      <c r="K58" s="16" t="n"/>
      <c r="L58" s="25">
        <f>IF(X58="","",X58)</f>
        <v/>
      </c>
      <c r="M58" s="18">
        <f>IF(O58&lt;&gt;"",O58,Y58)</f>
        <v/>
      </c>
      <c r="N58" s="16" t="n"/>
      <c r="O58" s="19" t="n"/>
      <c r="P58" s="19" t="n"/>
      <c r="Q58" s="19" t="n"/>
      <c r="R58" s="20" t="inlineStr">
        <is>
          <t>—</t>
        </is>
      </c>
      <c r="S58" s="20" t="inlineStr">
        <is>
          <t>RMP-2015</t>
        </is>
      </c>
      <c r="T58" s="20" t="inlineStr">
        <is>
          <t>±%</t>
        </is>
      </c>
      <c r="U58" s="20" t="n"/>
      <c r="V58" s="20" t="n">
        <v>1</v>
      </c>
      <c r="W58" s="20">
        <f>IF(AND(ISNUMBER(I58),ISNUMBER(J58)),I58-J58,"")</f>
        <v/>
      </c>
      <c r="X58" s="20">
        <f>IF(AND(ISNUMBER(I58),ISNUMBER(J58)),IF(J58=0,"",(I58-J58)/ABS(J58)),"")</f>
        <v/>
      </c>
      <c r="Y58" s="20">
        <f>IF(T58="Advisory","No pass mark",IF(T58="Manual","Claude will check",IF(I58="","Not done yet",IF(T58="Exact",IF(AND(ISNUMBER(I58),ISNUMBER(J58)),IF(ROUND(I58,2)=ROUND(J58,2),"Pass","Fail"),IF(TRIM(LOWER(I58&amp;""))=TRIM(LOWER(J58&amp;"")),"Pass","Fail")),IF(T58="Min",IF(I58&gt;=U58-1E-9,"Pass","Fail"),IF(T58="Between",IF(AND(I58&gt;=U58,I58&lt;=V58),"Pass","Fail"),IF(J58="","Not done yet",IF(T58="±%",IF(X58="","Check correct answer",IF(ABS(X58)*100&lt;=V58+1E-9,"Pass","Fail")),IF(T58="% range",IF(X58="","Check correct answer",IF(AND(X58*100&gt;=U58-1E-9,X58*100&lt;=V58+1E-9),"Pass","Fail")),IF(T58="±abs",IF(ABS(W58)&lt;=V58+1E-9,"Pass","Fail"),"Check type"))))))))))</f>
        <v/>
      </c>
    </row>
    <row r="59">
      <c r="A59" s="15" t="inlineStr">
        <is>
          <t>S2-053</t>
        </is>
      </c>
      <c r="B59" s="15" t="inlineStr">
        <is>
          <t>A</t>
        </is>
      </c>
      <c r="C59" s="15" t="inlineStr">
        <is>
          <t>FAR and coverage</t>
        </is>
      </c>
      <c r="D59" s="15" t="inlineStr">
        <is>
          <t>RERA project P4: FAR</t>
        </is>
      </c>
      <c r="E59" s="15" t="inlineStr">
        <is>
          <t>ratio</t>
        </is>
      </c>
      <c r="F59" s="15" t="inlineStr">
        <is>
          <t>Real</t>
        </is>
      </c>
      <c r="G59" s="15" t="inlineStr">
        <is>
          <t>FAR printed on sanctioned plan</t>
        </is>
      </c>
      <c r="H59" s="15" t="inlineStr">
        <is>
          <t>Within 1% of correct answer</t>
        </is>
      </c>
      <c r="I59" s="16" t="n"/>
      <c r="J59" s="16" t="n"/>
      <c r="K59" s="16" t="n"/>
      <c r="L59" s="25">
        <f>IF(X59="","",X59)</f>
        <v/>
      </c>
      <c r="M59" s="18">
        <f>IF(O59&lt;&gt;"",O59,Y59)</f>
        <v/>
      </c>
      <c r="N59" s="16" t="n"/>
      <c r="O59" s="19" t="n"/>
      <c r="P59" s="19" t="n"/>
      <c r="Q59" s="19" t="n"/>
      <c r="R59" s="20" t="inlineStr">
        <is>
          <t>—</t>
        </is>
      </c>
      <c r="S59" s="20" t="inlineStr">
        <is>
          <t>RMP-2015</t>
        </is>
      </c>
      <c r="T59" s="20" t="inlineStr">
        <is>
          <t>±%</t>
        </is>
      </c>
      <c r="U59" s="20" t="n"/>
      <c r="V59" s="20" t="n">
        <v>1</v>
      </c>
      <c r="W59" s="20">
        <f>IF(AND(ISNUMBER(I59),ISNUMBER(J59)),I59-J59,"")</f>
        <v/>
      </c>
      <c r="X59" s="20">
        <f>IF(AND(ISNUMBER(I59),ISNUMBER(J59)),IF(J59=0,"",(I59-J59)/ABS(J59)),"")</f>
        <v/>
      </c>
      <c r="Y59" s="20">
        <f>IF(T59="Advisory","No pass mark",IF(T59="Manual","Claude will check",IF(I59="","Not done yet",IF(T59="Exact",IF(AND(ISNUMBER(I59),ISNUMBER(J59)),IF(ROUND(I59,2)=ROUND(J59,2),"Pass","Fail"),IF(TRIM(LOWER(I59&amp;""))=TRIM(LOWER(J59&amp;"")),"Pass","Fail")),IF(T59="Min",IF(I59&gt;=U59-1E-9,"Pass","Fail"),IF(T59="Between",IF(AND(I59&gt;=U59,I59&lt;=V59),"Pass","Fail"),IF(J59="","Not done yet",IF(T59="±%",IF(X59="","Check correct answer",IF(ABS(X59)*100&lt;=V59+1E-9,"Pass","Fail")),IF(T59="% range",IF(X59="","Check correct answer",IF(AND(X59*100&gt;=U59-1E-9,X59*100&lt;=V59+1E-9),"Pass","Fail")),IF(T59="±abs",IF(ABS(W59)&lt;=V59+1E-9,"Pass","Fail"),"Check type"))))))))))</f>
        <v/>
      </c>
    </row>
    <row r="60">
      <c r="A60" s="15" t="inlineStr">
        <is>
          <t>S2-054</t>
        </is>
      </c>
      <c r="B60" s="15" t="inlineStr">
        <is>
          <t>A</t>
        </is>
      </c>
      <c r="C60" s="15" t="inlineStr">
        <is>
          <t>FAR and coverage</t>
        </is>
      </c>
      <c r="D60" s="15" t="inlineStr">
        <is>
          <t>RERA project P4: ground coverage</t>
        </is>
      </c>
      <c r="E60" s="15" t="inlineStr">
        <is>
          <t>%</t>
        </is>
      </c>
      <c r="F60" s="15" t="inlineStr">
        <is>
          <t>Real</t>
        </is>
      </c>
      <c r="G60" s="15" t="inlineStr">
        <is>
          <t>Coverage printed on sanctioned plan</t>
        </is>
      </c>
      <c r="H60" s="15" t="inlineStr">
        <is>
          <t>Within 1% of correct answer</t>
        </is>
      </c>
      <c r="I60" s="16" t="n"/>
      <c r="J60" s="16" t="n"/>
      <c r="K60" s="16" t="n"/>
      <c r="L60" s="25">
        <f>IF(X60="","",X60)</f>
        <v/>
      </c>
      <c r="M60" s="18">
        <f>IF(O60&lt;&gt;"",O60,Y60)</f>
        <v/>
      </c>
      <c r="N60" s="16" t="n"/>
      <c r="O60" s="19" t="n"/>
      <c r="P60" s="19" t="n"/>
      <c r="Q60" s="19" t="n"/>
      <c r="R60" s="20" t="inlineStr">
        <is>
          <t>—</t>
        </is>
      </c>
      <c r="S60" s="20" t="inlineStr">
        <is>
          <t>RMP-2015</t>
        </is>
      </c>
      <c r="T60" s="20" t="inlineStr">
        <is>
          <t>±%</t>
        </is>
      </c>
      <c r="U60" s="20" t="n"/>
      <c r="V60" s="20" t="n">
        <v>1</v>
      </c>
      <c r="W60" s="20">
        <f>IF(AND(ISNUMBER(I60),ISNUMBER(J60)),I60-J60,"")</f>
        <v/>
      </c>
      <c r="X60" s="20">
        <f>IF(AND(ISNUMBER(I60),ISNUMBER(J60)),IF(J60=0,"",(I60-J60)/ABS(J60)),"")</f>
        <v/>
      </c>
      <c r="Y60" s="20">
        <f>IF(T60="Advisory","No pass mark",IF(T60="Manual","Claude will check",IF(I60="","Not done yet",IF(T60="Exact",IF(AND(ISNUMBER(I60),ISNUMBER(J60)),IF(ROUND(I60,2)=ROUND(J60,2),"Pass","Fail"),IF(TRIM(LOWER(I60&amp;""))=TRIM(LOWER(J60&amp;"")),"Pass","Fail")),IF(T60="Min",IF(I60&gt;=U60-1E-9,"Pass","Fail"),IF(T60="Between",IF(AND(I60&gt;=U60,I60&lt;=V60),"Pass","Fail"),IF(J60="","Not done yet",IF(T60="±%",IF(X60="","Check correct answer",IF(ABS(X60)*100&lt;=V60+1E-9,"Pass","Fail")),IF(T60="% range",IF(X60="","Check correct answer",IF(AND(X60*100&gt;=U60-1E-9,X60*100&lt;=V60+1E-9),"Pass","Fail")),IF(T60="±abs",IF(ABS(W60)&lt;=V60+1E-9,"Pass","Fail"),"Check type"))))))))))</f>
        <v/>
      </c>
    </row>
    <row r="61">
      <c r="A61" s="15" t="inlineStr">
        <is>
          <t>S2-055</t>
        </is>
      </c>
      <c r="B61" s="15" t="inlineStr">
        <is>
          <t>A</t>
        </is>
      </c>
      <c r="C61" s="15" t="inlineStr">
        <is>
          <t>FAR and coverage</t>
        </is>
      </c>
      <c r="D61" s="15" t="inlineStr">
        <is>
          <t>RERA project P5: FAR</t>
        </is>
      </c>
      <c r="E61" s="15" t="inlineStr">
        <is>
          <t>ratio</t>
        </is>
      </c>
      <c r="F61" s="15" t="inlineStr">
        <is>
          <t>Real</t>
        </is>
      </c>
      <c r="G61" s="15" t="inlineStr">
        <is>
          <t>FAR printed on sanctioned plan</t>
        </is>
      </c>
      <c r="H61" s="15" t="inlineStr">
        <is>
          <t>Within 1% of correct answer</t>
        </is>
      </c>
      <c r="I61" s="16" t="n"/>
      <c r="J61" s="16" t="n"/>
      <c r="K61" s="16" t="n"/>
      <c r="L61" s="25">
        <f>IF(X61="","",X61)</f>
        <v/>
      </c>
      <c r="M61" s="18">
        <f>IF(O61&lt;&gt;"",O61,Y61)</f>
        <v/>
      </c>
      <c r="N61" s="16" t="n"/>
      <c r="O61" s="19" t="n"/>
      <c r="P61" s="19" t="n"/>
      <c r="Q61" s="19" t="n"/>
      <c r="R61" s="20" t="inlineStr">
        <is>
          <t>—</t>
        </is>
      </c>
      <c r="S61" s="20" t="inlineStr">
        <is>
          <t>RMP-2015</t>
        </is>
      </c>
      <c r="T61" s="20" t="inlineStr">
        <is>
          <t>±%</t>
        </is>
      </c>
      <c r="U61" s="20" t="n"/>
      <c r="V61" s="20" t="n">
        <v>1</v>
      </c>
      <c r="W61" s="20">
        <f>IF(AND(ISNUMBER(I61),ISNUMBER(J61)),I61-J61,"")</f>
        <v/>
      </c>
      <c r="X61" s="20">
        <f>IF(AND(ISNUMBER(I61),ISNUMBER(J61)),IF(J61=0,"",(I61-J61)/ABS(J61)),"")</f>
        <v/>
      </c>
      <c r="Y61" s="20">
        <f>IF(T61="Advisory","No pass mark",IF(T61="Manual","Claude will check",IF(I61="","Not done yet",IF(T61="Exact",IF(AND(ISNUMBER(I61),ISNUMBER(J61)),IF(ROUND(I61,2)=ROUND(J61,2),"Pass","Fail"),IF(TRIM(LOWER(I61&amp;""))=TRIM(LOWER(J61&amp;"")),"Pass","Fail")),IF(T61="Min",IF(I61&gt;=U61-1E-9,"Pass","Fail"),IF(T61="Between",IF(AND(I61&gt;=U61,I61&lt;=V61),"Pass","Fail"),IF(J61="","Not done yet",IF(T61="±%",IF(X61="","Check correct answer",IF(ABS(X61)*100&lt;=V61+1E-9,"Pass","Fail")),IF(T61="% range",IF(X61="","Check correct answer",IF(AND(X61*100&gt;=U61-1E-9,X61*100&lt;=V61+1E-9),"Pass","Fail")),IF(T61="±abs",IF(ABS(W61)&lt;=V61+1E-9,"Pass","Fail"),"Check type"))))))))))</f>
        <v/>
      </c>
    </row>
    <row r="62">
      <c r="A62" s="15" t="inlineStr">
        <is>
          <t>S2-056</t>
        </is>
      </c>
      <c r="B62" s="15" t="inlineStr">
        <is>
          <t>A</t>
        </is>
      </c>
      <c r="C62" s="15" t="inlineStr">
        <is>
          <t>FAR and coverage</t>
        </is>
      </c>
      <c r="D62" s="15" t="inlineStr">
        <is>
          <t>RERA project P5: ground coverage</t>
        </is>
      </c>
      <c r="E62" s="15" t="inlineStr">
        <is>
          <t>%</t>
        </is>
      </c>
      <c r="F62" s="15" t="inlineStr">
        <is>
          <t>Real</t>
        </is>
      </c>
      <c r="G62" s="15" t="inlineStr">
        <is>
          <t>Coverage printed on sanctioned plan</t>
        </is>
      </c>
      <c r="H62" s="15" t="inlineStr">
        <is>
          <t>Within 1% of correct answer</t>
        </is>
      </c>
      <c r="I62" s="16" t="n"/>
      <c r="J62" s="16" t="n"/>
      <c r="K62" s="16" t="n"/>
      <c r="L62" s="25">
        <f>IF(X62="","",X62)</f>
        <v/>
      </c>
      <c r="M62" s="18">
        <f>IF(O62&lt;&gt;"",O62,Y62)</f>
        <v/>
      </c>
      <c r="N62" s="16" t="n"/>
      <c r="O62" s="19" t="n"/>
      <c r="P62" s="19" t="n"/>
      <c r="Q62" s="19" t="n"/>
      <c r="R62" s="20" t="inlineStr">
        <is>
          <t>—</t>
        </is>
      </c>
      <c r="S62" s="20" t="inlineStr">
        <is>
          <t>RMP-2015</t>
        </is>
      </c>
      <c r="T62" s="20" t="inlineStr">
        <is>
          <t>±%</t>
        </is>
      </c>
      <c r="U62" s="20" t="n"/>
      <c r="V62" s="20" t="n">
        <v>1</v>
      </c>
      <c r="W62" s="20">
        <f>IF(AND(ISNUMBER(I62),ISNUMBER(J62)),I62-J62,"")</f>
        <v/>
      </c>
      <c r="X62" s="20">
        <f>IF(AND(ISNUMBER(I62),ISNUMBER(J62)),IF(J62=0,"",(I62-J62)/ABS(J62)),"")</f>
        <v/>
      </c>
      <c r="Y62" s="20">
        <f>IF(T62="Advisory","No pass mark",IF(T62="Manual","Claude will check",IF(I62="","Not done yet",IF(T62="Exact",IF(AND(ISNUMBER(I62),ISNUMBER(J62)),IF(ROUND(I62,2)=ROUND(J62,2),"Pass","Fail"),IF(TRIM(LOWER(I62&amp;""))=TRIM(LOWER(J62&amp;"")),"Pass","Fail")),IF(T62="Min",IF(I62&gt;=U62-1E-9,"Pass","Fail"),IF(T62="Between",IF(AND(I62&gt;=U62,I62&lt;=V62),"Pass","Fail"),IF(J62="","Not done yet",IF(T62="±%",IF(X62="","Check correct answer",IF(ABS(X62)*100&lt;=V62+1E-9,"Pass","Fail")),IF(T62="% range",IF(X62="","Check correct answer",IF(AND(X62*100&gt;=U62-1E-9,X62*100&lt;=V62+1E-9),"Pass","Fail")),IF(T62="±abs",IF(ABS(W62)&lt;=V62+1E-9,"Pass","Fail"),"Check type"))))))))))</f>
        <v/>
      </c>
    </row>
    <row r="63">
      <c r="A63" s="15" t="inlineStr">
        <is>
          <t>S2-057</t>
        </is>
      </c>
      <c r="B63" s="15" t="inlineStr">
        <is>
          <t>A</t>
        </is>
      </c>
      <c r="C63" s="15" t="inlineStr">
        <is>
          <t>Peer test</t>
        </is>
      </c>
      <c r="D63" s="15" t="inlineStr">
        <is>
          <t>Correct real-or-app guesses out of 60 (OPTIONAL)</t>
        </is>
      </c>
      <c r="E63" s="15" t="inlineStr">
        <is>
          <t>count</t>
        </is>
      </c>
      <c r="F63" s="15" t="inlineStr">
        <is>
          <t>Real</t>
        </is>
      </c>
      <c r="G63" s="15" t="inlineStr">
        <is>
          <t>3 classmates from other groups</t>
        </is>
      </c>
      <c r="H63" s="15" t="inlineStr">
        <is>
          <t>Between 24 and 36</t>
        </is>
      </c>
      <c r="I63" s="16" t="n"/>
      <c r="J63" s="16" t="n"/>
      <c r="K63" s="16" t="n"/>
      <c r="L63" s="17">
        <f>IF(W63="","",W63)</f>
        <v/>
      </c>
      <c r="M63" s="18">
        <f>IF(O63&lt;&gt;"",O63,Y63)</f>
        <v/>
      </c>
      <c r="N63" s="16" t="n"/>
      <c r="O63" s="19" t="n"/>
      <c r="P63" s="19" t="n"/>
      <c r="Q63" s="19" t="n"/>
      <c r="R63" s="20" t="inlineStr">
        <is>
          <t>—</t>
        </is>
      </c>
      <c r="S63" s="20" t="inlineStr">
        <is>
          <t>n/a</t>
        </is>
      </c>
      <c r="T63" s="20" t="inlineStr">
        <is>
          <t>Between</t>
        </is>
      </c>
      <c r="U63" s="20" t="n">
        <v>24</v>
      </c>
      <c r="V63" s="20" t="n">
        <v>36</v>
      </c>
      <c r="W63" s="20">
        <f>IF(AND(ISNUMBER(I63),ISNUMBER(J63)),I63-J63,"")</f>
        <v/>
      </c>
      <c r="X63" s="20">
        <f>IF(AND(ISNUMBER(I63),ISNUMBER(J63)),IF(J63=0,"",(I63-J63)/ABS(J63)),"")</f>
        <v/>
      </c>
      <c r="Y63" s="20">
        <f>IF(T63="Advisory","No pass mark",IF(T63="Manual","Claude will check",IF(I63="","Not done yet",IF(T63="Exact",IF(AND(ISNUMBER(I63),ISNUMBER(J63)),IF(ROUND(I63,2)=ROUND(J63,2),"Pass","Fail"),IF(TRIM(LOWER(I63&amp;""))=TRIM(LOWER(J63&amp;"")),"Pass","Fail")),IF(T63="Min",IF(I63&gt;=U63-1E-9,"Pass","Fail"),IF(T63="Between",IF(AND(I63&gt;=U63,I63&lt;=V63),"Pass","Fail"),IF(J63="","Not done yet",IF(T63="±%",IF(X63="","Check correct answer",IF(ABS(X63)*100&lt;=V63+1E-9,"Pass","Fail")),IF(T63="% range",IF(X63="","Check correct answer",IF(AND(X63*100&gt;=U63-1E-9,X63*100&lt;=V63+1E-9),"Pass","Fail")),IF(T63="±abs",IF(ABS(W63)&lt;=V63+1E-9,"Pass","Fail"),"Check type"))))))))))</f>
        <v/>
      </c>
    </row>
    <row r="64">
      <c r="A64" s="21" t="n"/>
      <c r="B64" s="22" t="inlineStr">
        <is>
          <t>B's tests (22)</t>
        </is>
      </c>
      <c r="C64" s="21" t="n"/>
      <c r="D64" s="21" t="n"/>
      <c r="E64" s="21" t="n"/>
      <c r="F64" s="21" t="n"/>
      <c r="G64" s="21" t="n"/>
      <c r="H64" s="21" t="n"/>
      <c r="I64" s="21" t="n"/>
      <c r="J64" s="21" t="n"/>
      <c r="K64" s="21" t="n"/>
      <c r="L64" s="21" t="n"/>
      <c r="M64" s="21" t="n"/>
      <c r="N64" s="21" t="n"/>
      <c r="O64" s="21" t="n"/>
      <c r="P64" s="21" t="n"/>
      <c r="Q64" s="21" t="n"/>
    </row>
    <row r="65">
      <c r="A65" s="15" t="inlineStr">
        <is>
          <t>S2-058</t>
        </is>
      </c>
      <c r="B65" s="15" t="inlineStr">
        <is>
          <t>B</t>
        </is>
      </c>
      <c r="C65" s="15" t="inlineStr">
        <is>
          <t>Parking</t>
        </is>
      </c>
      <c r="D65" s="15" t="inlineStr">
        <is>
          <t>Unit mix M1: required car spaces</t>
        </is>
      </c>
      <c r="E65" s="15" t="inlineStr">
        <is>
          <t>spaces</t>
        </is>
      </c>
      <c r="F65" s="15" t="inlineStr">
        <is>
          <t>Book</t>
        </is>
      </c>
      <c r="G65" s="15" t="inlineStr">
        <is>
          <t>Hand count</t>
        </is>
      </c>
      <c r="H65" s="15" t="inlineStr">
        <is>
          <t>Same as correct answer</t>
        </is>
      </c>
      <c r="I65" s="16" t="n"/>
      <c r="J65" s="16" t="n"/>
      <c r="K65" s="16" t="n"/>
      <c r="L65" s="17">
        <f>IF(W65="","",W65)</f>
        <v/>
      </c>
      <c r="M65" s="18">
        <f>IF(O65&lt;&gt;"",O65,Y65)</f>
        <v/>
      </c>
      <c r="N65" s="16" t="n"/>
      <c r="O65" s="19" t="n"/>
      <c r="P65" s="19" t="n"/>
      <c r="Q65" s="19" t="n"/>
      <c r="R65" s="20" t="inlineStr">
        <is>
          <t>RMP-2015 parking norms</t>
        </is>
      </c>
      <c r="S65" s="20" t="inlineStr">
        <is>
          <t>RMP-2015</t>
        </is>
      </c>
      <c r="T65" s="20" t="inlineStr">
        <is>
          <t>Exact</t>
        </is>
      </c>
      <c r="U65" s="20" t="n"/>
      <c r="V65" s="20" t="n"/>
      <c r="W65" s="20">
        <f>IF(AND(ISNUMBER(I65),ISNUMBER(J65)),I65-J65,"")</f>
        <v/>
      </c>
      <c r="X65" s="20">
        <f>IF(AND(ISNUMBER(I65),ISNUMBER(J65)),IF(J65=0,"",(I65-J65)/ABS(J65)),"")</f>
        <v/>
      </c>
      <c r="Y65" s="20">
        <f>IF(T65="Advisory","No pass mark",IF(T65="Manual","Claude will check",IF(I65="","Not done yet",IF(T65="Exact",IF(AND(ISNUMBER(I65),ISNUMBER(J65)),IF(ROUND(I65,2)=ROUND(J65,2),"Pass","Fail"),IF(TRIM(LOWER(I65&amp;""))=TRIM(LOWER(J65&amp;"")),"Pass","Fail")),IF(T65="Min",IF(I65&gt;=U65-1E-9,"Pass","Fail"),IF(T65="Between",IF(AND(I65&gt;=U65,I65&lt;=V65),"Pass","Fail"),IF(J65="","Not done yet",IF(T65="±%",IF(X65="","Check correct answer",IF(ABS(X65)*100&lt;=V65+1E-9,"Pass","Fail")),IF(T65="% range",IF(X65="","Check correct answer",IF(AND(X65*100&gt;=U65-1E-9,X65*100&lt;=V65+1E-9),"Pass","Fail")),IF(T65="±abs",IF(ABS(W65)&lt;=V65+1E-9,"Pass","Fail"),"Check type"))))))))))</f>
        <v/>
      </c>
    </row>
    <row r="66">
      <c r="A66" s="15" t="inlineStr">
        <is>
          <t>S2-059</t>
        </is>
      </c>
      <c r="B66" s="15" t="inlineStr">
        <is>
          <t>B</t>
        </is>
      </c>
      <c r="C66" s="15" t="inlineStr">
        <is>
          <t>Parking</t>
        </is>
      </c>
      <c r="D66" s="15" t="inlineStr">
        <is>
          <t>Unit mix M2: required car spaces</t>
        </is>
      </c>
      <c r="E66" s="15" t="inlineStr">
        <is>
          <t>spaces</t>
        </is>
      </c>
      <c r="F66" s="15" t="inlineStr">
        <is>
          <t>Book</t>
        </is>
      </c>
      <c r="G66" s="15" t="inlineStr">
        <is>
          <t>Hand count</t>
        </is>
      </c>
      <c r="H66" s="15" t="inlineStr">
        <is>
          <t>Same as correct answer</t>
        </is>
      </c>
      <c r="I66" s="16" t="n"/>
      <c r="J66" s="16" t="n"/>
      <c r="K66" s="16" t="n"/>
      <c r="L66" s="17">
        <f>IF(W66="","",W66)</f>
        <v/>
      </c>
      <c r="M66" s="18">
        <f>IF(O66&lt;&gt;"",O66,Y66)</f>
        <v/>
      </c>
      <c r="N66" s="16" t="n"/>
      <c r="O66" s="19" t="n"/>
      <c r="P66" s="19" t="n"/>
      <c r="Q66" s="19" t="n"/>
      <c r="R66" s="20" t="inlineStr">
        <is>
          <t>RMP-2015 parking norms</t>
        </is>
      </c>
      <c r="S66" s="20" t="inlineStr">
        <is>
          <t>RMP-2015</t>
        </is>
      </c>
      <c r="T66" s="20" t="inlineStr">
        <is>
          <t>Exact</t>
        </is>
      </c>
      <c r="U66" s="20" t="n"/>
      <c r="V66" s="20" t="n"/>
      <c r="W66" s="20">
        <f>IF(AND(ISNUMBER(I66),ISNUMBER(J66)),I66-J66,"")</f>
        <v/>
      </c>
      <c r="X66" s="20">
        <f>IF(AND(ISNUMBER(I66),ISNUMBER(J66)),IF(J66=0,"",(I66-J66)/ABS(J66)),"")</f>
        <v/>
      </c>
      <c r="Y66" s="20">
        <f>IF(T66="Advisory","No pass mark",IF(T66="Manual","Claude will check",IF(I66="","Not done yet",IF(T66="Exact",IF(AND(ISNUMBER(I66),ISNUMBER(J66)),IF(ROUND(I66,2)=ROUND(J66,2),"Pass","Fail"),IF(TRIM(LOWER(I66&amp;""))=TRIM(LOWER(J66&amp;"")),"Pass","Fail")),IF(T66="Min",IF(I66&gt;=U66-1E-9,"Pass","Fail"),IF(T66="Between",IF(AND(I66&gt;=U66,I66&lt;=V66),"Pass","Fail"),IF(J66="","Not done yet",IF(T66="±%",IF(X66="","Check correct answer",IF(ABS(X66)*100&lt;=V66+1E-9,"Pass","Fail")),IF(T66="% range",IF(X66="","Check correct answer",IF(AND(X66*100&gt;=U66-1E-9,X66*100&lt;=V66+1E-9),"Pass","Fail")),IF(T66="±abs",IF(ABS(W66)&lt;=V66+1E-9,"Pass","Fail"),"Check type"))))))))))</f>
        <v/>
      </c>
    </row>
    <row r="67">
      <c r="A67" s="15" t="inlineStr">
        <is>
          <t>S2-060</t>
        </is>
      </c>
      <c r="B67" s="15" t="inlineStr">
        <is>
          <t>B</t>
        </is>
      </c>
      <c r="C67" s="15" t="inlineStr">
        <is>
          <t>Parking</t>
        </is>
      </c>
      <c r="D67" s="15" t="inlineStr">
        <is>
          <t>Unit mix M3: required car spaces</t>
        </is>
      </c>
      <c r="E67" s="15" t="inlineStr">
        <is>
          <t>spaces</t>
        </is>
      </c>
      <c r="F67" s="15" t="inlineStr">
        <is>
          <t>Book</t>
        </is>
      </c>
      <c r="G67" s="15" t="inlineStr">
        <is>
          <t>Hand count</t>
        </is>
      </c>
      <c r="H67" s="15" t="inlineStr">
        <is>
          <t>Same as correct answer</t>
        </is>
      </c>
      <c r="I67" s="16" t="n"/>
      <c r="J67" s="16" t="n"/>
      <c r="K67" s="16" t="n"/>
      <c r="L67" s="17">
        <f>IF(W67="","",W67)</f>
        <v/>
      </c>
      <c r="M67" s="18">
        <f>IF(O67&lt;&gt;"",O67,Y67)</f>
        <v/>
      </c>
      <c r="N67" s="16" t="n"/>
      <c r="O67" s="19" t="n"/>
      <c r="P67" s="19" t="n"/>
      <c r="Q67" s="19" t="n"/>
      <c r="R67" s="20" t="inlineStr">
        <is>
          <t>RMP-2015 parking norms</t>
        </is>
      </c>
      <c r="S67" s="20" t="inlineStr">
        <is>
          <t>RMP-2015</t>
        </is>
      </c>
      <c r="T67" s="20" t="inlineStr">
        <is>
          <t>Exact</t>
        </is>
      </c>
      <c r="U67" s="20" t="n"/>
      <c r="V67" s="20" t="n"/>
      <c r="W67" s="20">
        <f>IF(AND(ISNUMBER(I67),ISNUMBER(J67)),I67-J67,"")</f>
        <v/>
      </c>
      <c r="X67" s="20">
        <f>IF(AND(ISNUMBER(I67),ISNUMBER(J67)),IF(J67=0,"",(I67-J67)/ABS(J67)),"")</f>
        <v/>
      </c>
      <c r="Y67" s="20">
        <f>IF(T67="Advisory","No pass mark",IF(T67="Manual","Claude will check",IF(I67="","Not done yet",IF(T67="Exact",IF(AND(ISNUMBER(I67),ISNUMBER(J67)),IF(ROUND(I67,2)=ROUND(J67,2),"Pass","Fail"),IF(TRIM(LOWER(I67&amp;""))=TRIM(LOWER(J67&amp;"")),"Pass","Fail")),IF(T67="Min",IF(I67&gt;=U67-1E-9,"Pass","Fail"),IF(T67="Between",IF(AND(I67&gt;=U67,I67&lt;=V67),"Pass","Fail"),IF(J67="","Not done yet",IF(T67="±%",IF(X67="","Check correct answer",IF(ABS(X67)*100&lt;=V67+1E-9,"Pass","Fail")),IF(T67="% range",IF(X67="","Check correct answer",IF(AND(X67*100&gt;=U67-1E-9,X67*100&lt;=V67+1E-9),"Pass","Fail")),IF(T67="±abs",IF(ABS(W67)&lt;=V67+1E-9,"Pass","Fail"),"Check type"))))))))))</f>
        <v/>
      </c>
    </row>
    <row r="68">
      <c r="A68" s="15" t="inlineStr">
        <is>
          <t>S2-061</t>
        </is>
      </c>
      <c r="B68" s="15" t="inlineStr">
        <is>
          <t>B</t>
        </is>
      </c>
      <c r="C68" s="15" t="inlineStr">
        <is>
          <t>Parking</t>
        </is>
      </c>
      <c r="D68" s="15" t="inlineStr">
        <is>
          <t>Unit mix M4: required car spaces</t>
        </is>
      </c>
      <c r="E68" s="15" t="inlineStr">
        <is>
          <t>spaces</t>
        </is>
      </c>
      <c r="F68" s="15" t="inlineStr">
        <is>
          <t>Book</t>
        </is>
      </c>
      <c r="G68" s="15" t="inlineStr">
        <is>
          <t>Hand count</t>
        </is>
      </c>
      <c r="H68" s="15" t="inlineStr">
        <is>
          <t>Same as correct answer</t>
        </is>
      </c>
      <c r="I68" s="16" t="n"/>
      <c r="J68" s="16" t="n"/>
      <c r="K68" s="16" t="n"/>
      <c r="L68" s="17">
        <f>IF(W68="","",W68)</f>
        <v/>
      </c>
      <c r="M68" s="18">
        <f>IF(O68&lt;&gt;"",O68,Y68)</f>
        <v/>
      </c>
      <c r="N68" s="16" t="n"/>
      <c r="O68" s="19" t="n"/>
      <c r="P68" s="19" t="n"/>
      <c r="Q68" s="19" t="n"/>
      <c r="R68" s="20" t="inlineStr">
        <is>
          <t>RMP-2015 parking norms</t>
        </is>
      </c>
      <c r="S68" s="20" t="inlineStr">
        <is>
          <t>RMP-2015</t>
        </is>
      </c>
      <c r="T68" s="20" t="inlineStr">
        <is>
          <t>Exact</t>
        </is>
      </c>
      <c r="U68" s="20" t="n"/>
      <c r="V68" s="20" t="n"/>
      <c r="W68" s="20">
        <f>IF(AND(ISNUMBER(I68),ISNUMBER(J68)),I68-J68,"")</f>
        <v/>
      </c>
      <c r="X68" s="20">
        <f>IF(AND(ISNUMBER(I68),ISNUMBER(J68)),IF(J68=0,"",(I68-J68)/ABS(J68)),"")</f>
        <v/>
      </c>
      <c r="Y68" s="20">
        <f>IF(T68="Advisory","No pass mark",IF(T68="Manual","Claude will check",IF(I68="","Not done yet",IF(T68="Exact",IF(AND(ISNUMBER(I68),ISNUMBER(J68)),IF(ROUND(I68,2)=ROUND(J68,2),"Pass","Fail"),IF(TRIM(LOWER(I68&amp;""))=TRIM(LOWER(J68&amp;"")),"Pass","Fail")),IF(T68="Min",IF(I68&gt;=U68-1E-9,"Pass","Fail"),IF(T68="Between",IF(AND(I68&gt;=U68,I68&lt;=V68),"Pass","Fail"),IF(J68="","Not done yet",IF(T68="±%",IF(X68="","Check correct answer",IF(ABS(X68)*100&lt;=V68+1E-9,"Pass","Fail")),IF(T68="% range",IF(X68="","Check correct answer",IF(AND(X68*100&gt;=U68-1E-9,X68*100&lt;=V68+1E-9),"Pass","Fail")),IF(T68="±abs",IF(ABS(W68)&lt;=V68+1E-9,"Pass","Fail"),"Check type"))))))))))</f>
        <v/>
      </c>
    </row>
    <row r="69">
      <c r="A69" s="15" t="inlineStr">
        <is>
          <t>S2-062</t>
        </is>
      </c>
      <c r="B69" s="15" t="inlineStr">
        <is>
          <t>B</t>
        </is>
      </c>
      <c r="C69" s="15" t="inlineStr">
        <is>
          <t>Parking</t>
        </is>
      </c>
      <c r="D69" s="15" t="inlineStr">
        <is>
          <t>Unit mix M5: required car spaces</t>
        </is>
      </c>
      <c r="E69" s="15" t="inlineStr">
        <is>
          <t>spaces</t>
        </is>
      </c>
      <c r="F69" s="15" t="inlineStr">
        <is>
          <t>Book</t>
        </is>
      </c>
      <c r="G69" s="15" t="inlineStr">
        <is>
          <t>Hand count</t>
        </is>
      </c>
      <c r="H69" s="15" t="inlineStr">
        <is>
          <t>Same as correct answer</t>
        </is>
      </c>
      <c r="I69" s="16" t="n"/>
      <c r="J69" s="16" t="n"/>
      <c r="K69" s="16" t="n"/>
      <c r="L69" s="17">
        <f>IF(W69="","",W69)</f>
        <v/>
      </c>
      <c r="M69" s="18">
        <f>IF(O69&lt;&gt;"",O69,Y69)</f>
        <v/>
      </c>
      <c r="N69" s="16" t="n"/>
      <c r="O69" s="19" t="n"/>
      <c r="P69" s="19" t="n"/>
      <c r="Q69" s="19" t="n"/>
      <c r="R69" s="20" t="inlineStr">
        <is>
          <t>RMP-2015 parking norms</t>
        </is>
      </c>
      <c r="S69" s="20" t="inlineStr">
        <is>
          <t>RMP-2015</t>
        </is>
      </c>
      <c r="T69" s="20" t="inlineStr">
        <is>
          <t>Exact</t>
        </is>
      </c>
      <c r="U69" s="20" t="n"/>
      <c r="V69" s="20" t="n"/>
      <c r="W69" s="20">
        <f>IF(AND(ISNUMBER(I69),ISNUMBER(J69)),I69-J69,"")</f>
        <v/>
      </c>
      <c r="X69" s="20">
        <f>IF(AND(ISNUMBER(I69),ISNUMBER(J69)),IF(J69=0,"",(I69-J69)/ABS(J69)),"")</f>
        <v/>
      </c>
      <c r="Y69" s="20">
        <f>IF(T69="Advisory","No pass mark",IF(T69="Manual","Claude will check",IF(I69="","Not done yet",IF(T69="Exact",IF(AND(ISNUMBER(I69),ISNUMBER(J69)),IF(ROUND(I69,2)=ROUND(J69,2),"Pass","Fail"),IF(TRIM(LOWER(I69&amp;""))=TRIM(LOWER(J69&amp;"")),"Pass","Fail")),IF(T69="Min",IF(I69&gt;=U69-1E-9,"Pass","Fail"),IF(T69="Between",IF(AND(I69&gt;=U69,I69&lt;=V69),"Pass","Fail"),IF(J69="","Not done yet",IF(T69="±%",IF(X69="","Check correct answer",IF(ABS(X69)*100&lt;=V69+1E-9,"Pass","Fail")),IF(T69="% range",IF(X69="","Check correct answer",IF(AND(X69*100&gt;=U69-1E-9,X69*100&lt;=V69+1E-9),"Pass","Fail")),IF(T69="±abs",IF(ABS(W69)&lt;=V69+1E-9,"Pass","Fail"),"Check type"))))))))))</f>
        <v/>
      </c>
    </row>
    <row r="70">
      <c r="A70" s="15" t="inlineStr">
        <is>
          <t>S2-063</t>
        </is>
      </c>
      <c r="B70" s="15" t="inlineStr">
        <is>
          <t>B</t>
        </is>
      </c>
      <c r="C70" s="15" t="inlineStr">
        <is>
          <t>Parking</t>
        </is>
      </c>
      <c r="D70" s="15" t="inlineStr">
        <is>
          <t>RERA project P1: car spaces provided</t>
        </is>
      </c>
      <c r="E70" s="15" t="inlineStr">
        <is>
          <t>spaces</t>
        </is>
      </c>
      <c r="F70" s="15" t="inlineStr">
        <is>
          <t>Real</t>
        </is>
      </c>
      <c r="G70" s="15" t="inlineStr">
        <is>
          <t>Sanctioned plan; app DXF stalls counted by hand</t>
        </is>
      </c>
      <c r="H70" s="15" t="inlineStr">
        <is>
          <t>Same as correct answer</t>
        </is>
      </c>
      <c r="I70" s="16" t="n"/>
      <c r="J70" s="16" t="n"/>
      <c r="K70" s="16" t="n"/>
      <c r="L70" s="17">
        <f>IF(W70="","",W70)</f>
        <v/>
      </c>
      <c r="M70" s="18">
        <f>IF(O70&lt;&gt;"",O70,Y70)</f>
        <v/>
      </c>
      <c r="N70" s="16" t="n"/>
      <c r="O70" s="19" t="n"/>
      <c r="P70" s="19" t="n"/>
      <c r="Q70" s="19" t="n"/>
      <c r="R70" s="20" t="inlineStr">
        <is>
          <t>—</t>
        </is>
      </c>
      <c r="S70" s="20" t="inlineStr">
        <is>
          <t>RMP-2015</t>
        </is>
      </c>
      <c r="T70" s="20" t="inlineStr">
        <is>
          <t>Exact</t>
        </is>
      </c>
      <c r="U70" s="20" t="n"/>
      <c r="V70" s="20" t="n"/>
      <c r="W70" s="20">
        <f>IF(AND(ISNUMBER(I70),ISNUMBER(J70)),I70-J70,"")</f>
        <v/>
      </c>
      <c r="X70" s="20">
        <f>IF(AND(ISNUMBER(I70),ISNUMBER(J70)),IF(J70=0,"",(I70-J70)/ABS(J70)),"")</f>
        <v/>
      </c>
      <c r="Y70" s="20">
        <f>IF(T70="Advisory","No pass mark",IF(T70="Manual","Claude will check",IF(I70="","Not done yet",IF(T70="Exact",IF(AND(ISNUMBER(I70),ISNUMBER(J70)),IF(ROUND(I70,2)=ROUND(J70,2),"Pass","Fail"),IF(TRIM(LOWER(I70&amp;""))=TRIM(LOWER(J70&amp;"")),"Pass","Fail")),IF(T70="Min",IF(I70&gt;=U70-1E-9,"Pass","Fail"),IF(T70="Between",IF(AND(I70&gt;=U70,I70&lt;=V70),"Pass","Fail"),IF(J70="","Not done yet",IF(T70="±%",IF(X70="","Check correct answer",IF(ABS(X70)*100&lt;=V70+1E-9,"Pass","Fail")),IF(T70="% range",IF(X70="","Check correct answer",IF(AND(X70*100&gt;=U70-1E-9,X70*100&lt;=V70+1E-9),"Pass","Fail")),IF(T70="±abs",IF(ABS(W70)&lt;=V70+1E-9,"Pass","Fail"),"Check type"))))))))))</f>
        <v/>
      </c>
    </row>
    <row r="71">
      <c r="A71" s="15" t="inlineStr">
        <is>
          <t>S2-064</t>
        </is>
      </c>
      <c r="B71" s="15" t="inlineStr">
        <is>
          <t>B</t>
        </is>
      </c>
      <c r="C71" s="15" t="inlineStr">
        <is>
          <t>Parking</t>
        </is>
      </c>
      <c r="D71" s="15" t="inlineStr">
        <is>
          <t>RERA project P2: car spaces provided</t>
        </is>
      </c>
      <c r="E71" s="15" t="inlineStr">
        <is>
          <t>spaces</t>
        </is>
      </c>
      <c r="F71" s="15" t="inlineStr">
        <is>
          <t>Real</t>
        </is>
      </c>
      <c r="G71" s="15" t="inlineStr">
        <is>
          <t>Sanctioned plan; app DXF stalls counted by hand</t>
        </is>
      </c>
      <c r="H71" s="15" t="inlineStr">
        <is>
          <t>Same as correct answer</t>
        </is>
      </c>
      <c r="I71" s="16" t="n"/>
      <c r="J71" s="16" t="n"/>
      <c r="K71" s="16" t="n"/>
      <c r="L71" s="17">
        <f>IF(W71="","",W71)</f>
        <v/>
      </c>
      <c r="M71" s="18">
        <f>IF(O71&lt;&gt;"",O71,Y71)</f>
        <v/>
      </c>
      <c r="N71" s="16" t="n"/>
      <c r="O71" s="19" t="n"/>
      <c r="P71" s="19" t="n"/>
      <c r="Q71" s="19" t="n"/>
      <c r="R71" s="20" t="inlineStr">
        <is>
          <t>—</t>
        </is>
      </c>
      <c r="S71" s="20" t="inlineStr">
        <is>
          <t>RMP-2015</t>
        </is>
      </c>
      <c r="T71" s="20" t="inlineStr">
        <is>
          <t>Exact</t>
        </is>
      </c>
      <c r="U71" s="20" t="n"/>
      <c r="V71" s="20" t="n"/>
      <c r="W71" s="20">
        <f>IF(AND(ISNUMBER(I71),ISNUMBER(J71)),I71-J71,"")</f>
        <v/>
      </c>
      <c r="X71" s="20">
        <f>IF(AND(ISNUMBER(I71),ISNUMBER(J71)),IF(J71=0,"",(I71-J71)/ABS(J71)),"")</f>
        <v/>
      </c>
      <c r="Y71" s="20">
        <f>IF(T71="Advisory","No pass mark",IF(T71="Manual","Claude will check",IF(I71="","Not done yet",IF(T71="Exact",IF(AND(ISNUMBER(I71),ISNUMBER(J71)),IF(ROUND(I71,2)=ROUND(J71,2),"Pass","Fail"),IF(TRIM(LOWER(I71&amp;""))=TRIM(LOWER(J71&amp;"")),"Pass","Fail")),IF(T71="Min",IF(I71&gt;=U71-1E-9,"Pass","Fail"),IF(T71="Between",IF(AND(I71&gt;=U71,I71&lt;=V71),"Pass","Fail"),IF(J71="","Not done yet",IF(T71="±%",IF(X71="","Check correct answer",IF(ABS(X71)*100&lt;=V71+1E-9,"Pass","Fail")),IF(T71="% range",IF(X71="","Check correct answer",IF(AND(X71*100&gt;=U71-1E-9,X71*100&lt;=V71+1E-9),"Pass","Fail")),IF(T71="±abs",IF(ABS(W71)&lt;=V71+1E-9,"Pass","Fail"),"Check type"))))))))))</f>
        <v/>
      </c>
    </row>
    <row r="72">
      <c r="A72" s="15" t="inlineStr">
        <is>
          <t>S2-065</t>
        </is>
      </c>
      <c r="B72" s="15" t="inlineStr">
        <is>
          <t>B</t>
        </is>
      </c>
      <c r="C72" s="15" t="inlineStr">
        <is>
          <t>Parking</t>
        </is>
      </c>
      <c r="D72" s="15" t="inlineStr">
        <is>
          <t>RERA project P3: car spaces provided</t>
        </is>
      </c>
      <c r="E72" s="15" t="inlineStr">
        <is>
          <t>spaces</t>
        </is>
      </c>
      <c r="F72" s="15" t="inlineStr">
        <is>
          <t>Real</t>
        </is>
      </c>
      <c r="G72" s="15" t="inlineStr">
        <is>
          <t>Sanctioned plan; app DXF stalls counted by hand</t>
        </is>
      </c>
      <c r="H72" s="15" t="inlineStr">
        <is>
          <t>Same as correct answer</t>
        </is>
      </c>
      <c r="I72" s="16" t="n"/>
      <c r="J72" s="16" t="n"/>
      <c r="K72" s="16" t="n"/>
      <c r="L72" s="17">
        <f>IF(W72="","",W72)</f>
        <v/>
      </c>
      <c r="M72" s="18">
        <f>IF(O72&lt;&gt;"",O72,Y72)</f>
        <v/>
      </c>
      <c r="N72" s="16" t="n"/>
      <c r="O72" s="19" t="n"/>
      <c r="P72" s="19" t="n"/>
      <c r="Q72" s="19" t="n"/>
      <c r="R72" s="20" t="inlineStr">
        <is>
          <t>—</t>
        </is>
      </c>
      <c r="S72" s="20" t="inlineStr">
        <is>
          <t>RMP-2015</t>
        </is>
      </c>
      <c r="T72" s="20" t="inlineStr">
        <is>
          <t>Exact</t>
        </is>
      </c>
      <c r="U72" s="20" t="n"/>
      <c r="V72" s="20" t="n"/>
      <c r="W72" s="20">
        <f>IF(AND(ISNUMBER(I72),ISNUMBER(J72)),I72-J72,"")</f>
        <v/>
      </c>
      <c r="X72" s="20">
        <f>IF(AND(ISNUMBER(I72),ISNUMBER(J72)),IF(J72=0,"",(I72-J72)/ABS(J72)),"")</f>
        <v/>
      </c>
      <c r="Y72" s="20">
        <f>IF(T72="Advisory","No pass mark",IF(T72="Manual","Claude will check",IF(I72="","Not done yet",IF(T72="Exact",IF(AND(ISNUMBER(I72),ISNUMBER(J72)),IF(ROUND(I72,2)=ROUND(J72,2),"Pass","Fail"),IF(TRIM(LOWER(I72&amp;""))=TRIM(LOWER(J72&amp;"")),"Pass","Fail")),IF(T72="Min",IF(I72&gt;=U72-1E-9,"Pass","Fail"),IF(T72="Between",IF(AND(I72&gt;=U72,I72&lt;=V72),"Pass","Fail"),IF(J72="","Not done yet",IF(T72="±%",IF(X72="","Check correct answer",IF(ABS(X72)*100&lt;=V72+1E-9,"Pass","Fail")),IF(T72="% range",IF(X72="","Check correct answer",IF(AND(X72*100&gt;=U72-1E-9,X72*100&lt;=V72+1E-9),"Pass","Fail")),IF(T72="±abs",IF(ABS(W72)&lt;=V72+1E-9,"Pass","Fail"),"Check type"))))))))))</f>
        <v/>
      </c>
    </row>
    <row r="73">
      <c r="A73" s="15" t="inlineStr">
        <is>
          <t>S2-066</t>
        </is>
      </c>
      <c r="B73" s="15" t="inlineStr">
        <is>
          <t>B</t>
        </is>
      </c>
      <c r="C73" s="15" t="inlineStr">
        <is>
          <t>Parking</t>
        </is>
      </c>
      <c r="D73" s="15" t="inlineStr">
        <is>
          <t>RERA project P4: car spaces provided</t>
        </is>
      </c>
      <c r="E73" s="15" t="inlineStr">
        <is>
          <t>spaces</t>
        </is>
      </c>
      <c r="F73" s="15" t="inlineStr">
        <is>
          <t>Real</t>
        </is>
      </c>
      <c r="G73" s="15" t="inlineStr">
        <is>
          <t>Sanctioned plan; app DXF stalls counted by hand</t>
        </is>
      </c>
      <c r="H73" s="15" t="inlineStr">
        <is>
          <t>Same as correct answer</t>
        </is>
      </c>
      <c r="I73" s="16" t="n"/>
      <c r="J73" s="16" t="n"/>
      <c r="K73" s="16" t="n"/>
      <c r="L73" s="17">
        <f>IF(W73="","",W73)</f>
        <v/>
      </c>
      <c r="M73" s="18">
        <f>IF(O73&lt;&gt;"",O73,Y73)</f>
        <v/>
      </c>
      <c r="N73" s="16" t="n"/>
      <c r="O73" s="19" t="n"/>
      <c r="P73" s="19" t="n"/>
      <c r="Q73" s="19" t="n"/>
      <c r="R73" s="20" t="inlineStr">
        <is>
          <t>—</t>
        </is>
      </c>
      <c r="S73" s="20" t="inlineStr">
        <is>
          <t>RMP-2015</t>
        </is>
      </c>
      <c r="T73" s="20" t="inlineStr">
        <is>
          <t>Exact</t>
        </is>
      </c>
      <c r="U73" s="20" t="n"/>
      <c r="V73" s="20" t="n"/>
      <c r="W73" s="20">
        <f>IF(AND(ISNUMBER(I73),ISNUMBER(J73)),I73-J73,"")</f>
        <v/>
      </c>
      <c r="X73" s="20">
        <f>IF(AND(ISNUMBER(I73),ISNUMBER(J73)),IF(J73=0,"",(I73-J73)/ABS(J73)),"")</f>
        <v/>
      </c>
      <c r="Y73" s="20">
        <f>IF(T73="Advisory","No pass mark",IF(T73="Manual","Claude will check",IF(I73="","Not done yet",IF(T73="Exact",IF(AND(ISNUMBER(I73),ISNUMBER(J73)),IF(ROUND(I73,2)=ROUND(J73,2),"Pass","Fail"),IF(TRIM(LOWER(I73&amp;""))=TRIM(LOWER(J73&amp;"")),"Pass","Fail")),IF(T73="Min",IF(I73&gt;=U73-1E-9,"Pass","Fail"),IF(T73="Between",IF(AND(I73&gt;=U73,I73&lt;=V73),"Pass","Fail"),IF(J73="","Not done yet",IF(T73="±%",IF(X73="","Check correct answer",IF(ABS(X73)*100&lt;=V73+1E-9,"Pass","Fail")),IF(T73="% range",IF(X73="","Check correct answer",IF(AND(X73*100&gt;=U73-1E-9,X73*100&lt;=V73+1E-9),"Pass","Fail")),IF(T73="±abs",IF(ABS(W73)&lt;=V73+1E-9,"Pass","Fail"),"Check type"))))))))))</f>
        <v/>
      </c>
    </row>
    <row r="74">
      <c r="A74" s="15" t="inlineStr">
        <is>
          <t>S2-067</t>
        </is>
      </c>
      <c r="B74" s="15" t="inlineStr">
        <is>
          <t>B</t>
        </is>
      </c>
      <c r="C74" s="15" t="inlineStr">
        <is>
          <t>Parking</t>
        </is>
      </c>
      <c r="D74" s="15" t="inlineStr">
        <is>
          <t>RERA project P5: car spaces provided</t>
        </is>
      </c>
      <c r="E74" s="15" t="inlineStr">
        <is>
          <t>spaces</t>
        </is>
      </c>
      <c r="F74" s="15" t="inlineStr">
        <is>
          <t>Real</t>
        </is>
      </c>
      <c r="G74" s="15" t="inlineStr">
        <is>
          <t>Sanctioned plan; app DXF stalls counted by hand</t>
        </is>
      </c>
      <c r="H74" s="15" t="inlineStr">
        <is>
          <t>Same as correct answer</t>
        </is>
      </c>
      <c r="I74" s="16" t="n"/>
      <c r="J74" s="16" t="n"/>
      <c r="K74" s="16" t="n"/>
      <c r="L74" s="17">
        <f>IF(W74="","",W74)</f>
        <v/>
      </c>
      <c r="M74" s="18">
        <f>IF(O74&lt;&gt;"",O74,Y74)</f>
        <v/>
      </c>
      <c r="N74" s="16" t="n"/>
      <c r="O74" s="19" t="n"/>
      <c r="P74" s="19" t="n"/>
      <c r="Q74" s="19" t="n"/>
      <c r="R74" s="20" t="inlineStr">
        <is>
          <t>—</t>
        </is>
      </c>
      <c r="S74" s="20" t="inlineStr">
        <is>
          <t>RMP-2015</t>
        </is>
      </c>
      <c r="T74" s="20" t="inlineStr">
        <is>
          <t>Exact</t>
        </is>
      </c>
      <c r="U74" s="20" t="n"/>
      <c r="V74" s="20" t="n"/>
      <c r="W74" s="20">
        <f>IF(AND(ISNUMBER(I74),ISNUMBER(J74)),I74-J74,"")</f>
        <v/>
      </c>
      <c r="X74" s="20">
        <f>IF(AND(ISNUMBER(I74),ISNUMBER(J74)),IF(J74=0,"",(I74-J74)/ABS(J74)),"")</f>
        <v/>
      </c>
      <c r="Y74" s="20">
        <f>IF(T74="Advisory","No pass mark",IF(T74="Manual","Claude will check",IF(I74="","Not done yet",IF(T74="Exact",IF(AND(ISNUMBER(I74),ISNUMBER(J74)),IF(ROUND(I74,2)=ROUND(J74,2),"Pass","Fail"),IF(TRIM(LOWER(I74&amp;""))=TRIM(LOWER(J74&amp;"")),"Pass","Fail")),IF(T74="Min",IF(I74&gt;=U74-1E-9,"Pass","Fail"),IF(T74="Between",IF(AND(I74&gt;=U74,I74&lt;=V74),"Pass","Fail"),IF(J74="","Not done yet",IF(T74="±%",IF(X74="","Check correct answer",IF(ABS(X74)*100&lt;=V74+1E-9,"Pass","Fail")),IF(T74="% range",IF(X74="","Check correct answer",IF(AND(X74*100&gt;=U74-1E-9,X74*100&lt;=V74+1E-9),"Pass","Fail")),IF(T74="±abs",IF(ABS(W74)&lt;=V74+1E-9,"Pass","Fail"),"Check type"))))))))))</f>
        <v/>
      </c>
    </row>
    <row r="75">
      <c r="A75" s="15" t="inlineStr">
        <is>
          <t>S2-068</t>
        </is>
      </c>
      <c r="B75" s="15" t="inlineStr">
        <is>
          <t>B</t>
        </is>
      </c>
      <c r="C75" s="15" t="inlineStr">
        <is>
          <t>Room layouts</t>
        </is>
      </c>
      <c r="D75" s="15" t="inlineStr">
        <is>
          <t>App plan 1: every habitable room has an outside window and is reachable</t>
        </is>
      </c>
      <c r="E75" s="15" t="inlineStr">
        <is>
          <t>Yes/No</t>
        </is>
      </c>
      <c r="F75" s="15" t="inlineStr">
        <is>
          <t>Book</t>
        </is>
      </c>
      <c r="G75" s="15" t="inlineStr">
        <is>
          <t>Rule</t>
        </is>
      </c>
      <c r="H75" s="15" t="inlineStr">
        <is>
          <t>Same as correct answer</t>
        </is>
      </c>
      <c r="I75" s="16" t="n"/>
      <c r="J75" s="16" t="inlineStr">
        <is>
          <t>Yes</t>
        </is>
      </c>
      <c r="K75" s="16" t="n"/>
      <c r="L75" s="17">
        <f>IF(W75="","",W75)</f>
        <v/>
      </c>
      <c r="M75" s="18">
        <f>IF(O75&lt;&gt;"",O75,Y75)</f>
        <v/>
      </c>
      <c r="N75" s="16" t="n"/>
      <c r="O75" s="19" t="n"/>
      <c r="P75" s="19" t="n"/>
      <c r="Q75" s="19" t="n"/>
      <c r="R75" s="20" t="inlineStr">
        <is>
          <t>NBC 2016 Part 3</t>
        </is>
      </c>
      <c r="S75" s="20" t="inlineStr">
        <is>
          <t>NBC 2016</t>
        </is>
      </c>
      <c r="T75" s="20" t="inlineStr">
        <is>
          <t>Exact</t>
        </is>
      </c>
      <c r="U75" s="20" t="n"/>
      <c r="V75" s="20" t="n"/>
      <c r="W75" s="20">
        <f>IF(AND(ISNUMBER(I75),ISNUMBER(J75)),I75-J75,"")</f>
        <v/>
      </c>
      <c r="X75" s="20">
        <f>IF(AND(ISNUMBER(I75),ISNUMBER(J75)),IF(J75=0,"",(I75-J75)/ABS(J75)),"")</f>
        <v/>
      </c>
      <c r="Y75" s="20">
        <f>IF(T75="Advisory","No pass mark",IF(T75="Manual","Claude will check",IF(I75="","Not done yet",IF(T75="Exact",IF(AND(ISNUMBER(I75),ISNUMBER(J75)),IF(ROUND(I75,2)=ROUND(J75,2),"Pass","Fail"),IF(TRIM(LOWER(I75&amp;""))=TRIM(LOWER(J75&amp;"")),"Pass","Fail")),IF(T75="Min",IF(I75&gt;=U75-1E-9,"Pass","Fail"),IF(T75="Between",IF(AND(I75&gt;=U75,I75&lt;=V75),"Pass","Fail"),IF(J75="","Not done yet",IF(T75="±%",IF(X75="","Check correct answer",IF(ABS(X75)*100&lt;=V75+1E-9,"Pass","Fail")),IF(T75="% range",IF(X75="","Check correct answer",IF(AND(X75*100&gt;=U75-1E-9,X75*100&lt;=V75+1E-9),"Pass","Fail")),IF(T75="±abs",IF(ABS(W75)&lt;=V75+1E-9,"Pass","Fail"),"Check type"))))))))))</f>
        <v/>
      </c>
    </row>
    <row r="76">
      <c r="A76" s="15" t="inlineStr">
        <is>
          <t>S2-069</t>
        </is>
      </c>
      <c r="B76" s="15" t="inlineStr">
        <is>
          <t>B</t>
        </is>
      </c>
      <c r="C76" s="15" t="inlineStr">
        <is>
          <t>Room layouts</t>
        </is>
      </c>
      <c r="D76" s="15" t="inlineStr">
        <is>
          <t>App plan 2: every habitable room has an outside window and is reachable</t>
        </is>
      </c>
      <c r="E76" s="15" t="inlineStr">
        <is>
          <t>Yes/No</t>
        </is>
      </c>
      <c r="F76" s="15" t="inlineStr">
        <is>
          <t>Book</t>
        </is>
      </c>
      <c r="G76" s="15" t="inlineStr">
        <is>
          <t>Rule</t>
        </is>
      </c>
      <c r="H76" s="15" t="inlineStr">
        <is>
          <t>Same as correct answer</t>
        </is>
      </c>
      <c r="I76" s="16" t="n"/>
      <c r="J76" s="16" t="inlineStr">
        <is>
          <t>Yes</t>
        </is>
      </c>
      <c r="K76" s="16" t="n"/>
      <c r="L76" s="17">
        <f>IF(W76="","",W76)</f>
        <v/>
      </c>
      <c r="M76" s="18">
        <f>IF(O76&lt;&gt;"",O76,Y76)</f>
        <v/>
      </c>
      <c r="N76" s="16" t="n"/>
      <c r="O76" s="19" t="n"/>
      <c r="P76" s="19" t="n"/>
      <c r="Q76" s="19" t="n"/>
      <c r="R76" s="20" t="inlineStr">
        <is>
          <t>NBC 2016 Part 3</t>
        </is>
      </c>
      <c r="S76" s="20" t="inlineStr">
        <is>
          <t>NBC 2016</t>
        </is>
      </c>
      <c r="T76" s="20" t="inlineStr">
        <is>
          <t>Exact</t>
        </is>
      </c>
      <c r="U76" s="20" t="n"/>
      <c r="V76" s="20" t="n"/>
      <c r="W76" s="20">
        <f>IF(AND(ISNUMBER(I76),ISNUMBER(J76)),I76-J76,"")</f>
        <v/>
      </c>
      <c r="X76" s="20">
        <f>IF(AND(ISNUMBER(I76),ISNUMBER(J76)),IF(J76=0,"",(I76-J76)/ABS(J76)),"")</f>
        <v/>
      </c>
      <c r="Y76" s="20">
        <f>IF(T76="Advisory","No pass mark",IF(T76="Manual","Claude will check",IF(I76="","Not done yet",IF(T76="Exact",IF(AND(ISNUMBER(I76),ISNUMBER(J76)),IF(ROUND(I76,2)=ROUND(J76,2),"Pass","Fail"),IF(TRIM(LOWER(I76&amp;""))=TRIM(LOWER(J76&amp;"")),"Pass","Fail")),IF(T76="Min",IF(I76&gt;=U76-1E-9,"Pass","Fail"),IF(T76="Between",IF(AND(I76&gt;=U76,I76&lt;=V76),"Pass","Fail"),IF(J76="","Not done yet",IF(T76="±%",IF(X76="","Check correct answer",IF(ABS(X76)*100&lt;=V76+1E-9,"Pass","Fail")),IF(T76="% range",IF(X76="","Check correct answer",IF(AND(X76*100&gt;=U76-1E-9,X76*100&lt;=V76+1E-9),"Pass","Fail")),IF(T76="±abs",IF(ABS(W76)&lt;=V76+1E-9,"Pass","Fail"),"Check type"))))))))))</f>
        <v/>
      </c>
    </row>
    <row r="77">
      <c r="A77" s="15" t="inlineStr">
        <is>
          <t>S2-070</t>
        </is>
      </c>
      <c r="B77" s="15" t="inlineStr">
        <is>
          <t>B</t>
        </is>
      </c>
      <c r="C77" s="15" t="inlineStr">
        <is>
          <t>Room layouts</t>
        </is>
      </c>
      <c r="D77" s="15" t="inlineStr">
        <is>
          <t>App plan 3: every habitable room has an outside window and is reachable</t>
        </is>
      </c>
      <c r="E77" s="15" t="inlineStr">
        <is>
          <t>Yes/No</t>
        </is>
      </c>
      <c r="F77" s="15" t="inlineStr">
        <is>
          <t>Book</t>
        </is>
      </c>
      <c r="G77" s="15" t="inlineStr">
        <is>
          <t>Rule</t>
        </is>
      </c>
      <c r="H77" s="15" t="inlineStr">
        <is>
          <t>Same as correct answer</t>
        </is>
      </c>
      <c r="I77" s="16" t="n"/>
      <c r="J77" s="16" t="inlineStr">
        <is>
          <t>Yes</t>
        </is>
      </c>
      <c r="K77" s="16" t="n"/>
      <c r="L77" s="17">
        <f>IF(W77="","",W77)</f>
        <v/>
      </c>
      <c r="M77" s="18">
        <f>IF(O77&lt;&gt;"",O77,Y77)</f>
        <v/>
      </c>
      <c r="N77" s="16" t="n"/>
      <c r="O77" s="19" t="n"/>
      <c r="P77" s="19" t="n"/>
      <c r="Q77" s="19" t="n"/>
      <c r="R77" s="20" t="inlineStr">
        <is>
          <t>NBC 2016 Part 3</t>
        </is>
      </c>
      <c r="S77" s="20" t="inlineStr">
        <is>
          <t>NBC 2016</t>
        </is>
      </c>
      <c r="T77" s="20" t="inlineStr">
        <is>
          <t>Exact</t>
        </is>
      </c>
      <c r="U77" s="20" t="n"/>
      <c r="V77" s="20" t="n"/>
      <c r="W77" s="20">
        <f>IF(AND(ISNUMBER(I77),ISNUMBER(J77)),I77-J77,"")</f>
        <v/>
      </c>
      <c r="X77" s="20">
        <f>IF(AND(ISNUMBER(I77),ISNUMBER(J77)),IF(J77=0,"",(I77-J77)/ABS(J77)),"")</f>
        <v/>
      </c>
      <c r="Y77" s="20">
        <f>IF(T77="Advisory","No pass mark",IF(T77="Manual","Claude will check",IF(I77="","Not done yet",IF(T77="Exact",IF(AND(ISNUMBER(I77),ISNUMBER(J77)),IF(ROUND(I77,2)=ROUND(J77,2),"Pass","Fail"),IF(TRIM(LOWER(I77&amp;""))=TRIM(LOWER(J77&amp;"")),"Pass","Fail")),IF(T77="Min",IF(I77&gt;=U77-1E-9,"Pass","Fail"),IF(T77="Between",IF(AND(I77&gt;=U77,I77&lt;=V77),"Pass","Fail"),IF(J77="","Not done yet",IF(T77="±%",IF(X77="","Check correct answer",IF(ABS(X77)*100&lt;=V77+1E-9,"Pass","Fail")),IF(T77="% range",IF(X77="","Check correct answer",IF(AND(X77*100&gt;=U77-1E-9,X77*100&lt;=V77+1E-9),"Pass","Fail")),IF(T77="±abs",IF(ABS(W77)&lt;=V77+1E-9,"Pass","Fail"),"Check type"))))))))))</f>
        <v/>
      </c>
    </row>
    <row r="78">
      <c r="A78" s="15" t="inlineStr">
        <is>
          <t>S2-071</t>
        </is>
      </c>
      <c r="B78" s="15" t="inlineStr">
        <is>
          <t>B</t>
        </is>
      </c>
      <c r="C78" s="15" t="inlineStr">
        <is>
          <t>Room layouts</t>
        </is>
      </c>
      <c r="D78" s="15" t="inlineStr">
        <is>
          <t>App plan 4: every habitable room has an outside window and is reachable</t>
        </is>
      </c>
      <c r="E78" s="15" t="inlineStr">
        <is>
          <t>Yes/No</t>
        </is>
      </c>
      <c r="F78" s="15" t="inlineStr">
        <is>
          <t>Book</t>
        </is>
      </c>
      <c r="G78" s="15" t="inlineStr">
        <is>
          <t>Rule</t>
        </is>
      </c>
      <c r="H78" s="15" t="inlineStr">
        <is>
          <t>Same as correct answer</t>
        </is>
      </c>
      <c r="I78" s="16" t="n"/>
      <c r="J78" s="16" t="inlineStr">
        <is>
          <t>Yes</t>
        </is>
      </c>
      <c r="K78" s="16" t="n"/>
      <c r="L78" s="17">
        <f>IF(W78="","",W78)</f>
        <v/>
      </c>
      <c r="M78" s="18">
        <f>IF(O78&lt;&gt;"",O78,Y78)</f>
        <v/>
      </c>
      <c r="N78" s="16" t="n"/>
      <c r="O78" s="19" t="n"/>
      <c r="P78" s="19" t="n"/>
      <c r="Q78" s="19" t="n"/>
      <c r="R78" s="20" t="inlineStr">
        <is>
          <t>NBC 2016 Part 3</t>
        </is>
      </c>
      <c r="S78" s="20" t="inlineStr">
        <is>
          <t>NBC 2016</t>
        </is>
      </c>
      <c r="T78" s="20" t="inlineStr">
        <is>
          <t>Exact</t>
        </is>
      </c>
      <c r="U78" s="20" t="n"/>
      <c r="V78" s="20" t="n"/>
      <c r="W78" s="20">
        <f>IF(AND(ISNUMBER(I78),ISNUMBER(J78)),I78-J78,"")</f>
        <v/>
      </c>
      <c r="X78" s="20">
        <f>IF(AND(ISNUMBER(I78),ISNUMBER(J78)),IF(J78=0,"",(I78-J78)/ABS(J78)),"")</f>
        <v/>
      </c>
      <c r="Y78" s="20">
        <f>IF(T78="Advisory","No pass mark",IF(T78="Manual","Claude will check",IF(I78="","Not done yet",IF(T78="Exact",IF(AND(ISNUMBER(I78),ISNUMBER(J78)),IF(ROUND(I78,2)=ROUND(J78,2),"Pass","Fail"),IF(TRIM(LOWER(I78&amp;""))=TRIM(LOWER(J78&amp;"")),"Pass","Fail")),IF(T78="Min",IF(I78&gt;=U78-1E-9,"Pass","Fail"),IF(T78="Between",IF(AND(I78&gt;=U78,I78&lt;=V78),"Pass","Fail"),IF(J78="","Not done yet",IF(T78="±%",IF(X78="","Check correct answer",IF(ABS(X78)*100&lt;=V78+1E-9,"Pass","Fail")),IF(T78="% range",IF(X78="","Check correct answer",IF(AND(X78*100&gt;=U78-1E-9,X78*100&lt;=V78+1E-9),"Pass","Fail")),IF(T78="±abs",IF(ABS(W78)&lt;=V78+1E-9,"Pass","Fail"),"Check type"))))))))))</f>
        <v/>
      </c>
    </row>
    <row r="79">
      <c r="A79" s="15" t="inlineStr">
        <is>
          <t>S2-072</t>
        </is>
      </c>
      <c r="B79" s="15" t="inlineStr">
        <is>
          <t>B</t>
        </is>
      </c>
      <c r="C79" s="15" t="inlineStr">
        <is>
          <t>Room layouts</t>
        </is>
      </c>
      <c r="D79" s="15" t="inlineStr">
        <is>
          <t>App plan 5: every habitable room has an outside window and is reachable</t>
        </is>
      </c>
      <c r="E79" s="15" t="inlineStr">
        <is>
          <t>Yes/No</t>
        </is>
      </c>
      <c r="F79" s="15" t="inlineStr">
        <is>
          <t>Book</t>
        </is>
      </c>
      <c r="G79" s="15" t="inlineStr">
        <is>
          <t>Rule</t>
        </is>
      </c>
      <c r="H79" s="15" t="inlineStr">
        <is>
          <t>Same as correct answer</t>
        </is>
      </c>
      <c r="I79" s="16" t="n"/>
      <c r="J79" s="16" t="inlineStr">
        <is>
          <t>Yes</t>
        </is>
      </c>
      <c r="K79" s="16" t="n"/>
      <c r="L79" s="17">
        <f>IF(W79="","",W79)</f>
        <v/>
      </c>
      <c r="M79" s="18">
        <f>IF(O79&lt;&gt;"",O79,Y79)</f>
        <v/>
      </c>
      <c r="N79" s="16" t="n"/>
      <c r="O79" s="19" t="n"/>
      <c r="P79" s="19" t="n"/>
      <c r="Q79" s="19" t="n"/>
      <c r="R79" s="20" t="inlineStr">
        <is>
          <t>NBC 2016 Part 3</t>
        </is>
      </c>
      <c r="S79" s="20" t="inlineStr">
        <is>
          <t>NBC 2016</t>
        </is>
      </c>
      <c r="T79" s="20" t="inlineStr">
        <is>
          <t>Exact</t>
        </is>
      </c>
      <c r="U79" s="20" t="n"/>
      <c r="V79" s="20" t="n"/>
      <c r="W79" s="20">
        <f>IF(AND(ISNUMBER(I79),ISNUMBER(J79)),I79-J79,"")</f>
        <v/>
      </c>
      <c r="X79" s="20">
        <f>IF(AND(ISNUMBER(I79),ISNUMBER(J79)),IF(J79=0,"",(I79-J79)/ABS(J79)),"")</f>
        <v/>
      </c>
      <c r="Y79" s="20">
        <f>IF(T79="Advisory","No pass mark",IF(T79="Manual","Claude will check",IF(I79="","Not done yet",IF(T79="Exact",IF(AND(ISNUMBER(I79),ISNUMBER(J79)),IF(ROUND(I79,2)=ROUND(J79,2),"Pass","Fail"),IF(TRIM(LOWER(I79&amp;""))=TRIM(LOWER(J79&amp;"")),"Pass","Fail")),IF(T79="Min",IF(I79&gt;=U79-1E-9,"Pass","Fail"),IF(T79="Between",IF(AND(I79&gt;=U79,I79&lt;=V79),"Pass","Fail"),IF(J79="","Not done yet",IF(T79="±%",IF(X79="","Check correct answer",IF(ABS(X79)*100&lt;=V79+1E-9,"Pass","Fail")),IF(T79="% range",IF(X79="","Check correct answer",IF(AND(X79*100&gt;=U79-1E-9,X79*100&lt;=V79+1E-9),"Pass","Fail")),IF(T79="±abs",IF(ABS(W79)&lt;=V79+1E-9,"Pass","Fail"),"Check type"))))))))))</f>
        <v/>
      </c>
    </row>
    <row r="80">
      <c r="A80" s="15" t="inlineStr">
        <is>
          <t>S2-073</t>
        </is>
      </c>
      <c r="B80" s="15" t="inlineStr">
        <is>
          <t>B</t>
        </is>
      </c>
      <c r="C80" s="15" t="inlineStr">
        <is>
          <t>Room layouts</t>
        </is>
      </c>
      <c r="D80" s="15" t="inlineStr">
        <is>
          <t>App plan 6: every habitable room has an outside window and is reachable</t>
        </is>
      </c>
      <c r="E80" s="15" t="inlineStr">
        <is>
          <t>Yes/No</t>
        </is>
      </c>
      <c r="F80" s="15" t="inlineStr">
        <is>
          <t>Book</t>
        </is>
      </c>
      <c r="G80" s="15" t="inlineStr">
        <is>
          <t>Rule</t>
        </is>
      </c>
      <c r="H80" s="15" t="inlineStr">
        <is>
          <t>Same as correct answer</t>
        </is>
      </c>
      <c r="I80" s="16" t="n"/>
      <c r="J80" s="16" t="inlineStr">
        <is>
          <t>Yes</t>
        </is>
      </c>
      <c r="K80" s="16" t="n"/>
      <c r="L80" s="17">
        <f>IF(W80="","",W80)</f>
        <v/>
      </c>
      <c r="M80" s="18">
        <f>IF(O80&lt;&gt;"",O80,Y80)</f>
        <v/>
      </c>
      <c r="N80" s="16" t="n"/>
      <c r="O80" s="19" t="n"/>
      <c r="P80" s="19" t="n"/>
      <c r="Q80" s="19" t="n"/>
      <c r="R80" s="20" t="inlineStr">
        <is>
          <t>NBC 2016 Part 3</t>
        </is>
      </c>
      <c r="S80" s="20" t="inlineStr">
        <is>
          <t>NBC 2016</t>
        </is>
      </c>
      <c r="T80" s="20" t="inlineStr">
        <is>
          <t>Exact</t>
        </is>
      </c>
      <c r="U80" s="20" t="n"/>
      <c r="V80" s="20" t="n"/>
      <c r="W80" s="20">
        <f>IF(AND(ISNUMBER(I80),ISNUMBER(J80)),I80-J80,"")</f>
        <v/>
      </c>
      <c r="X80" s="20">
        <f>IF(AND(ISNUMBER(I80),ISNUMBER(J80)),IF(J80=0,"",(I80-J80)/ABS(J80)),"")</f>
        <v/>
      </c>
      <c r="Y80" s="20">
        <f>IF(T80="Advisory","No pass mark",IF(T80="Manual","Claude will check",IF(I80="","Not done yet",IF(T80="Exact",IF(AND(ISNUMBER(I80),ISNUMBER(J80)),IF(ROUND(I80,2)=ROUND(J80,2),"Pass","Fail"),IF(TRIM(LOWER(I80&amp;""))=TRIM(LOWER(J80&amp;"")),"Pass","Fail")),IF(T80="Min",IF(I80&gt;=U80-1E-9,"Pass","Fail"),IF(T80="Between",IF(AND(I80&gt;=U80,I80&lt;=V80),"Pass","Fail"),IF(J80="","Not done yet",IF(T80="±%",IF(X80="","Check correct answer",IF(ABS(X80)*100&lt;=V80+1E-9,"Pass","Fail")),IF(T80="% range",IF(X80="","Check correct answer",IF(AND(X80*100&gt;=U80-1E-9,X80*100&lt;=V80+1E-9),"Pass","Fail")),IF(T80="±abs",IF(ABS(W80)&lt;=V80+1E-9,"Pass","Fail"),"Check type"))))))))))</f>
        <v/>
      </c>
    </row>
    <row r="81">
      <c r="A81" s="15" t="inlineStr">
        <is>
          <t>S2-074</t>
        </is>
      </c>
      <c r="B81" s="15" t="inlineStr">
        <is>
          <t>B</t>
        </is>
      </c>
      <c r="C81" s="15" t="inlineStr">
        <is>
          <t>Room layouts</t>
        </is>
      </c>
      <c r="D81" s="15" t="inlineStr">
        <is>
          <t>App plan 7: every habitable room has an outside window and is reachable</t>
        </is>
      </c>
      <c r="E81" s="15" t="inlineStr">
        <is>
          <t>Yes/No</t>
        </is>
      </c>
      <c r="F81" s="15" t="inlineStr">
        <is>
          <t>Book</t>
        </is>
      </c>
      <c r="G81" s="15" t="inlineStr">
        <is>
          <t>Rule</t>
        </is>
      </c>
      <c r="H81" s="15" t="inlineStr">
        <is>
          <t>Same as correct answer</t>
        </is>
      </c>
      <c r="I81" s="16" t="n"/>
      <c r="J81" s="16" t="inlineStr">
        <is>
          <t>Yes</t>
        </is>
      </c>
      <c r="K81" s="16" t="n"/>
      <c r="L81" s="17">
        <f>IF(W81="","",W81)</f>
        <v/>
      </c>
      <c r="M81" s="18">
        <f>IF(O81&lt;&gt;"",O81,Y81)</f>
        <v/>
      </c>
      <c r="N81" s="16" t="n"/>
      <c r="O81" s="19" t="n"/>
      <c r="P81" s="19" t="n"/>
      <c r="Q81" s="19" t="n"/>
      <c r="R81" s="20" t="inlineStr">
        <is>
          <t>NBC 2016 Part 3</t>
        </is>
      </c>
      <c r="S81" s="20" t="inlineStr">
        <is>
          <t>NBC 2016</t>
        </is>
      </c>
      <c r="T81" s="20" t="inlineStr">
        <is>
          <t>Exact</t>
        </is>
      </c>
      <c r="U81" s="20" t="n"/>
      <c r="V81" s="20" t="n"/>
      <c r="W81" s="20">
        <f>IF(AND(ISNUMBER(I81),ISNUMBER(J81)),I81-J81,"")</f>
        <v/>
      </c>
      <c r="X81" s="20">
        <f>IF(AND(ISNUMBER(I81),ISNUMBER(J81)),IF(J81=0,"",(I81-J81)/ABS(J81)),"")</f>
        <v/>
      </c>
      <c r="Y81" s="20">
        <f>IF(T81="Advisory","No pass mark",IF(T81="Manual","Claude will check",IF(I81="","Not done yet",IF(T81="Exact",IF(AND(ISNUMBER(I81),ISNUMBER(J81)),IF(ROUND(I81,2)=ROUND(J81,2),"Pass","Fail"),IF(TRIM(LOWER(I81&amp;""))=TRIM(LOWER(J81&amp;"")),"Pass","Fail")),IF(T81="Min",IF(I81&gt;=U81-1E-9,"Pass","Fail"),IF(T81="Between",IF(AND(I81&gt;=U81,I81&lt;=V81),"Pass","Fail"),IF(J81="","Not done yet",IF(T81="±%",IF(X81="","Check correct answer",IF(ABS(X81)*100&lt;=V81+1E-9,"Pass","Fail")),IF(T81="% range",IF(X81="","Check correct answer",IF(AND(X81*100&gt;=U81-1E-9,X81*100&lt;=V81+1E-9),"Pass","Fail")),IF(T81="±abs",IF(ABS(W81)&lt;=V81+1E-9,"Pass","Fail"),"Check type"))))))))))</f>
        <v/>
      </c>
    </row>
    <row r="82">
      <c r="A82" s="15" t="inlineStr">
        <is>
          <t>S2-075</t>
        </is>
      </c>
      <c r="B82" s="15" t="inlineStr">
        <is>
          <t>B</t>
        </is>
      </c>
      <c r="C82" s="15" t="inlineStr">
        <is>
          <t>Room layouts</t>
        </is>
      </c>
      <c r="D82" s="15" t="inlineStr">
        <is>
          <t>App plan 8: every habitable room has an outside window and is reachable</t>
        </is>
      </c>
      <c r="E82" s="15" t="inlineStr">
        <is>
          <t>Yes/No</t>
        </is>
      </c>
      <c r="F82" s="15" t="inlineStr">
        <is>
          <t>Book</t>
        </is>
      </c>
      <c r="G82" s="15" t="inlineStr">
        <is>
          <t>Rule</t>
        </is>
      </c>
      <c r="H82" s="15" t="inlineStr">
        <is>
          <t>Same as correct answer</t>
        </is>
      </c>
      <c r="I82" s="16" t="n"/>
      <c r="J82" s="16" t="inlineStr">
        <is>
          <t>Yes</t>
        </is>
      </c>
      <c r="K82" s="16" t="n"/>
      <c r="L82" s="17">
        <f>IF(W82="","",W82)</f>
        <v/>
      </c>
      <c r="M82" s="18">
        <f>IF(O82&lt;&gt;"",O82,Y82)</f>
        <v/>
      </c>
      <c r="N82" s="16" t="n"/>
      <c r="O82" s="19" t="n"/>
      <c r="P82" s="19" t="n"/>
      <c r="Q82" s="19" t="n"/>
      <c r="R82" s="20" t="inlineStr">
        <is>
          <t>NBC 2016 Part 3</t>
        </is>
      </c>
      <c r="S82" s="20" t="inlineStr">
        <is>
          <t>NBC 2016</t>
        </is>
      </c>
      <c r="T82" s="20" t="inlineStr">
        <is>
          <t>Exact</t>
        </is>
      </c>
      <c r="U82" s="20" t="n"/>
      <c r="V82" s="20" t="n"/>
      <c r="W82" s="20">
        <f>IF(AND(ISNUMBER(I82),ISNUMBER(J82)),I82-J82,"")</f>
        <v/>
      </c>
      <c r="X82" s="20">
        <f>IF(AND(ISNUMBER(I82),ISNUMBER(J82)),IF(J82=0,"",(I82-J82)/ABS(J82)),"")</f>
        <v/>
      </c>
      <c r="Y82" s="20">
        <f>IF(T82="Advisory","No pass mark",IF(T82="Manual","Claude will check",IF(I82="","Not done yet",IF(T82="Exact",IF(AND(ISNUMBER(I82),ISNUMBER(J82)),IF(ROUND(I82,2)=ROUND(J82,2),"Pass","Fail"),IF(TRIM(LOWER(I82&amp;""))=TRIM(LOWER(J82&amp;"")),"Pass","Fail")),IF(T82="Min",IF(I82&gt;=U82-1E-9,"Pass","Fail"),IF(T82="Between",IF(AND(I82&gt;=U82,I82&lt;=V82),"Pass","Fail"),IF(J82="","Not done yet",IF(T82="±%",IF(X82="","Check correct answer",IF(ABS(X82)*100&lt;=V82+1E-9,"Pass","Fail")),IF(T82="% range",IF(X82="","Check correct answer",IF(AND(X82*100&gt;=U82-1E-9,X82*100&lt;=V82+1E-9),"Pass","Fail")),IF(T82="±abs",IF(ABS(W82)&lt;=V82+1E-9,"Pass","Fail"),"Check type"))))))))))</f>
        <v/>
      </c>
    </row>
    <row r="83">
      <c r="A83" s="15" t="inlineStr">
        <is>
          <t>S2-076</t>
        </is>
      </c>
      <c r="B83" s="15" t="inlineStr">
        <is>
          <t>B</t>
        </is>
      </c>
      <c r="C83" s="15" t="inlineStr">
        <is>
          <t>Room layouts</t>
        </is>
      </c>
      <c r="D83" s="15" t="inlineStr">
        <is>
          <t>App plan 9: every habitable room has an outside window and is reachable</t>
        </is>
      </c>
      <c r="E83" s="15" t="inlineStr">
        <is>
          <t>Yes/No</t>
        </is>
      </c>
      <c r="F83" s="15" t="inlineStr">
        <is>
          <t>Book</t>
        </is>
      </c>
      <c r="G83" s="15" t="inlineStr">
        <is>
          <t>Rule</t>
        </is>
      </c>
      <c r="H83" s="15" t="inlineStr">
        <is>
          <t>Same as correct answer</t>
        </is>
      </c>
      <c r="I83" s="16" t="n"/>
      <c r="J83" s="16" t="inlineStr">
        <is>
          <t>Yes</t>
        </is>
      </c>
      <c r="K83" s="16" t="n"/>
      <c r="L83" s="17">
        <f>IF(W83="","",W83)</f>
        <v/>
      </c>
      <c r="M83" s="18">
        <f>IF(O83&lt;&gt;"",O83,Y83)</f>
        <v/>
      </c>
      <c r="N83" s="16" t="n"/>
      <c r="O83" s="19" t="n"/>
      <c r="P83" s="19" t="n"/>
      <c r="Q83" s="19" t="n"/>
      <c r="R83" s="20" t="inlineStr">
        <is>
          <t>NBC 2016 Part 3</t>
        </is>
      </c>
      <c r="S83" s="20" t="inlineStr">
        <is>
          <t>NBC 2016</t>
        </is>
      </c>
      <c r="T83" s="20" t="inlineStr">
        <is>
          <t>Exact</t>
        </is>
      </c>
      <c r="U83" s="20" t="n"/>
      <c r="V83" s="20" t="n"/>
      <c r="W83" s="20">
        <f>IF(AND(ISNUMBER(I83),ISNUMBER(J83)),I83-J83,"")</f>
        <v/>
      </c>
      <c r="X83" s="20">
        <f>IF(AND(ISNUMBER(I83),ISNUMBER(J83)),IF(J83=0,"",(I83-J83)/ABS(J83)),"")</f>
        <v/>
      </c>
      <c r="Y83" s="20">
        <f>IF(T83="Advisory","No pass mark",IF(T83="Manual","Claude will check",IF(I83="","Not done yet",IF(T83="Exact",IF(AND(ISNUMBER(I83),ISNUMBER(J83)),IF(ROUND(I83,2)=ROUND(J83,2),"Pass","Fail"),IF(TRIM(LOWER(I83&amp;""))=TRIM(LOWER(J83&amp;"")),"Pass","Fail")),IF(T83="Min",IF(I83&gt;=U83-1E-9,"Pass","Fail"),IF(T83="Between",IF(AND(I83&gt;=U83,I83&lt;=V83),"Pass","Fail"),IF(J83="","Not done yet",IF(T83="±%",IF(X83="","Check correct answer",IF(ABS(X83)*100&lt;=V83+1E-9,"Pass","Fail")),IF(T83="% range",IF(X83="","Check correct answer",IF(AND(X83*100&gt;=U83-1E-9,X83*100&lt;=V83+1E-9),"Pass","Fail")),IF(T83="±abs",IF(ABS(W83)&lt;=V83+1E-9,"Pass","Fail"),"Check type"))))))))))</f>
        <v/>
      </c>
    </row>
    <row r="84">
      <c r="A84" s="15" t="inlineStr">
        <is>
          <t>S2-077</t>
        </is>
      </c>
      <c r="B84" s="15" t="inlineStr">
        <is>
          <t>B</t>
        </is>
      </c>
      <c r="C84" s="15" t="inlineStr">
        <is>
          <t>Room layouts</t>
        </is>
      </c>
      <c r="D84" s="15" t="inlineStr">
        <is>
          <t>App plan 10: every habitable room has an outside window and is reachable</t>
        </is>
      </c>
      <c r="E84" s="15" t="inlineStr">
        <is>
          <t>Yes/No</t>
        </is>
      </c>
      <c r="F84" s="15" t="inlineStr">
        <is>
          <t>Book</t>
        </is>
      </c>
      <c r="G84" s="15" t="inlineStr">
        <is>
          <t>Rule</t>
        </is>
      </c>
      <c r="H84" s="15" t="inlineStr">
        <is>
          <t>Same as correct answer</t>
        </is>
      </c>
      <c r="I84" s="16" t="n"/>
      <c r="J84" s="16" t="inlineStr">
        <is>
          <t>Yes</t>
        </is>
      </c>
      <c r="K84" s="16" t="n"/>
      <c r="L84" s="17">
        <f>IF(W84="","",W84)</f>
        <v/>
      </c>
      <c r="M84" s="18">
        <f>IF(O84&lt;&gt;"",O84,Y84)</f>
        <v/>
      </c>
      <c r="N84" s="16" t="n"/>
      <c r="O84" s="19" t="n"/>
      <c r="P84" s="19" t="n"/>
      <c r="Q84" s="19" t="n"/>
      <c r="R84" s="20" t="inlineStr">
        <is>
          <t>NBC 2016 Part 3</t>
        </is>
      </c>
      <c r="S84" s="20" t="inlineStr">
        <is>
          <t>NBC 2016</t>
        </is>
      </c>
      <c r="T84" s="20" t="inlineStr">
        <is>
          <t>Exact</t>
        </is>
      </c>
      <c r="U84" s="20" t="n"/>
      <c r="V84" s="20" t="n"/>
      <c r="W84" s="20">
        <f>IF(AND(ISNUMBER(I84),ISNUMBER(J84)),I84-J84,"")</f>
        <v/>
      </c>
      <c r="X84" s="20">
        <f>IF(AND(ISNUMBER(I84),ISNUMBER(J84)),IF(J84=0,"",(I84-J84)/ABS(J84)),"")</f>
        <v/>
      </c>
      <c r="Y84" s="20">
        <f>IF(T84="Advisory","No pass mark",IF(T84="Manual","Claude will check",IF(I84="","Not done yet",IF(T84="Exact",IF(AND(ISNUMBER(I84),ISNUMBER(J84)),IF(ROUND(I84,2)=ROUND(J84,2),"Pass","Fail"),IF(TRIM(LOWER(I84&amp;""))=TRIM(LOWER(J84&amp;"")),"Pass","Fail")),IF(T84="Min",IF(I84&gt;=U84-1E-9,"Pass","Fail"),IF(T84="Between",IF(AND(I84&gt;=U84,I84&lt;=V84),"Pass","Fail"),IF(J84="","Not done yet",IF(T84="±%",IF(X84="","Check correct answer",IF(ABS(X84)*100&lt;=V84+1E-9,"Pass","Fail")),IF(T84="% range",IF(X84="","Check correct answer",IF(AND(X84*100&gt;=U84-1E-9,X84*100&lt;=V84+1E-9),"Pass","Fail")),IF(T84="±abs",IF(ABS(W84)&lt;=V84+1E-9,"Pass","Fail"),"Check type"))))))))))</f>
        <v/>
      </c>
    </row>
    <row r="85">
      <c r="A85" s="15" t="inlineStr">
        <is>
          <t>S2-078</t>
        </is>
      </c>
      <c r="B85" s="15" t="inlineStr">
        <is>
          <t>B</t>
        </is>
      </c>
      <c r="C85" s="15" t="inlineStr">
        <is>
          <t>Room layouts</t>
        </is>
      </c>
      <c r="D85" s="15" t="inlineStr">
        <is>
          <t>Room sizes meet NBC 2016 Part 3 minimums (all app plans)</t>
        </is>
      </c>
      <c r="E85" s="15" t="inlineStr">
        <is>
          <t>Yes/No</t>
        </is>
      </c>
      <c r="F85" s="15" t="inlineStr">
        <is>
          <t>Book</t>
        </is>
      </c>
      <c r="G85" s="15" t="inlineStr">
        <is>
          <t>NBC minimum sizes</t>
        </is>
      </c>
      <c r="H85" s="15" t="inlineStr">
        <is>
          <t>Same as correct answer</t>
        </is>
      </c>
      <c r="I85" s="16" t="n"/>
      <c r="J85" s="16" t="inlineStr">
        <is>
          <t>Yes</t>
        </is>
      </c>
      <c r="K85" s="16" t="n"/>
      <c r="L85" s="17">
        <f>IF(W85="","",W85)</f>
        <v/>
      </c>
      <c r="M85" s="18">
        <f>IF(O85&lt;&gt;"",O85,Y85)</f>
        <v/>
      </c>
      <c r="N85" s="16" t="n"/>
      <c r="O85" s="19" t="n"/>
      <c r="P85" s="19" t="n"/>
      <c r="Q85" s="19" t="n"/>
      <c r="R85" s="20" t="inlineStr">
        <is>
          <t>NBC 2016 Part 3</t>
        </is>
      </c>
      <c r="S85" s="20" t="inlineStr">
        <is>
          <t>NBC 2016</t>
        </is>
      </c>
      <c r="T85" s="20" t="inlineStr">
        <is>
          <t>Exact</t>
        </is>
      </c>
      <c r="U85" s="20" t="n"/>
      <c r="V85" s="20" t="n"/>
      <c r="W85" s="20">
        <f>IF(AND(ISNUMBER(I85),ISNUMBER(J85)),I85-J85,"")</f>
        <v/>
      </c>
      <c r="X85" s="20">
        <f>IF(AND(ISNUMBER(I85),ISNUMBER(J85)),IF(J85=0,"",(I85-J85)/ABS(J85)),"")</f>
        <v/>
      </c>
      <c r="Y85" s="20">
        <f>IF(T85="Advisory","No pass mark",IF(T85="Manual","Claude will check",IF(I85="","Not done yet",IF(T85="Exact",IF(AND(ISNUMBER(I85),ISNUMBER(J85)),IF(ROUND(I85,2)=ROUND(J85,2),"Pass","Fail"),IF(TRIM(LOWER(I85&amp;""))=TRIM(LOWER(J85&amp;"")),"Pass","Fail")),IF(T85="Min",IF(I85&gt;=U85-1E-9,"Pass","Fail"),IF(T85="Between",IF(AND(I85&gt;=U85,I85&lt;=V85),"Pass","Fail"),IF(J85="","Not done yet",IF(T85="±%",IF(X85="","Check correct answer",IF(ABS(X85)*100&lt;=V85+1E-9,"Pass","Fail")),IF(T85="% range",IF(X85="","Check correct answer",IF(AND(X85*100&gt;=U85-1E-9,X85*100&lt;=V85+1E-9),"Pass","Fail")),IF(T85="±abs",IF(ABS(W85)&lt;=V85+1E-9,"Pass","Fail"),"Check type"))))))))))</f>
        <v/>
      </c>
    </row>
    <row r="86">
      <c r="A86" s="15" t="inlineStr">
        <is>
          <t>S2-079</t>
        </is>
      </c>
      <c r="B86" s="15" t="inlineStr">
        <is>
          <t>B</t>
        </is>
      </c>
      <c r="C86" s="15" t="inlineStr">
        <is>
          <t>Room layouts</t>
        </is>
      </c>
      <c r="D86" s="15" t="inlineStr">
        <is>
          <t>Share of app rooms inside the real size range
→ Enter as a number, e.g. 93 for 93%</t>
        </is>
      </c>
      <c r="E86" s="15" t="inlineStr">
        <is>
          <t>%</t>
        </is>
      </c>
      <c r="F86" s="15" t="inlineStr">
        <is>
          <t>Real</t>
        </is>
      </c>
      <c r="G86" s="15" t="inlineStr">
        <is>
          <t>30 RERA 1, 2 and 3 BHK plans</t>
        </is>
      </c>
      <c r="H86" s="15" t="inlineStr">
        <is>
          <t>At least 90</t>
        </is>
      </c>
      <c r="I86" s="16" t="n"/>
      <c r="J86" s="16" t="n"/>
      <c r="K86" s="16" t="n"/>
      <c r="L86" s="17">
        <f>IF(W86="","",W86)</f>
        <v/>
      </c>
      <c r="M86" s="18">
        <f>IF(O86&lt;&gt;"",O86,Y86)</f>
        <v/>
      </c>
      <c r="N86" s="16" t="n"/>
      <c r="O86" s="19" t="n"/>
      <c r="P86" s="19" t="n"/>
      <c r="Q86" s="19" t="n"/>
      <c r="R86" s="20" t="inlineStr">
        <is>
          <t>—</t>
        </is>
      </c>
      <c r="S86" s="20" t="inlineStr">
        <is>
          <t>n/a</t>
        </is>
      </c>
      <c r="T86" s="20" t="inlineStr">
        <is>
          <t>Min</t>
        </is>
      </c>
      <c r="U86" s="20" t="n">
        <v>90</v>
      </c>
      <c r="V86" s="20" t="n"/>
      <c r="W86" s="20">
        <f>IF(AND(ISNUMBER(I86),ISNUMBER(J86)),I86-J86,"")</f>
        <v/>
      </c>
      <c r="X86" s="20">
        <f>IF(AND(ISNUMBER(I86),ISNUMBER(J86)),IF(J86=0,"",(I86-J86)/ABS(J86)),"")</f>
        <v/>
      </c>
      <c r="Y86" s="20">
        <f>IF(T86="Advisory","No pass mark",IF(T86="Manual","Claude will check",IF(I86="","Not done yet",IF(T86="Exact",IF(AND(ISNUMBER(I86),ISNUMBER(J86)),IF(ROUND(I86,2)=ROUND(J86,2),"Pass","Fail"),IF(TRIM(LOWER(I86&amp;""))=TRIM(LOWER(J86&amp;"")),"Pass","Fail")),IF(T86="Min",IF(I86&gt;=U86-1E-9,"Pass","Fail"),IF(T86="Between",IF(AND(I86&gt;=U86,I86&lt;=V86),"Pass","Fail"),IF(J86="","Not done yet",IF(T86="±%",IF(X86="","Check correct answer",IF(ABS(X86)*100&lt;=V86+1E-9,"Pass","Fail")),IF(T86="% range",IF(X86="","Check correct answer",IF(AND(X86*100&gt;=U86-1E-9,X86*100&lt;=V86+1E-9),"Pass","Fail")),IF(T86="±abs",IF(ABS(W86)&lt;=V86+1E-9,"Pass","Fail"),"Check type"))))))))))</f>
        <v/>
      </c>
    </row>
    <row r="87">
      <c r="A87" s="23" t="n"/>
      <c r="B87" s="24" t="inlineStr">
        <is>
          <t>C's tests (8)</t>
        </is>
      </c>
      <c r="C87" s="23" t="n"/>
      <c r="D87" s="23" t="n"/>
      <c r="E87" s="23" t="n"/>
      <c r="F87" s="23" t="n"/>
      <c r="G87" s="23" t="n"/>
      <c r="H87" s="23" t="n"/>
      <c r="I87" s="23" t="n"/>
      <c r="J87" s="23" t="n"/>
      <c r="K87" s="23" t="n"/>
      <c r="L87" s="23" t="n"/>
      <c r="M87" s="23" t="n"/>
      <c r="N87" s="23" t="n"/>
      <c r="O87" s="23" t="n"/>
      <c r="P87" s="23" t="n"/>
      <c r="Q87" s="23" t="n"/>
    </row>
    <row r="88">
      <c r="A88" s="15" t="inlineStr">
        <is>
          <t>S2-080</t>
        </is>
      </c>
      <c r="B88" s="15" t="inlineStr">
        <is>
          <t>C</t>
        </is>
      </c>
      <c r="C88" s="15" t="inlineStr">
        <is>
          <t>Floor-plan rule book</t>
        </is>
      </c>
      <c r="D88" s="15" t="inlineStr">
        <is>
          <t>Rules whose passing and failing cases both behave correctly</t>
        </is>
      </c>
      <c r="E88" s="15" t="inlineStr">
        <is>
          <t>rules</t>
        </is>
      </c>
      <c r="F88" s="15" t="inlineStr">
        <is>
          <t>Book</t>
        </is>
      </c>
      <c r="G88" s="15" t="inlineStr">
        <is>
          <t>Direct tests (Reference value = total rules)</t>
        </is>
      </c>
      <c r="H88" s="15" t="inlineStr">
        <is>
          <t>Same as correct answer</t>
        </is>
      </c>
      <c r="I88" s="16" t="n"/>
      <c r="J88" s="16" t="n"/>
      <c r="K88" s="16" t="n"/>
      <c r="L88" s="17">
        <f>IF(W88="","",W88)</f>
        <v/>
      </c>
      <c r="M88" s="18">
        <f>IF(O88&lt;&gt;"",O88,Y88)</f>
        <v/>
      </c>
      <c r="N88" s="16" t="n"/>
      <c r="O88" s="19" t="n"/>
      <c r="P88" s="19" t="n"/>
      <c r="Q88" s="19" t="n"/>
      <c r="R88" s="20" t="inlineStr">
        <is>
          <t>—</t>
        </is>
      </c>
      <c r="S88" s="20" t="inlineStr">
        <is>
          <t>n/a</t>
        </is>
      </c>
      <c r="T88" s="20" t="inlineStr">
        <is>
          <t>Exact</t>
        </is>
      </c>
      <c r="U88" s="20" t="n"/>
      <c r="V88" s="20" t="n"/>
      <c r="W88" s="20">
        <f>IF(AND(ISNUMBER(I88),ISNUMBER(J88)),I88-J88,"")</f>
        <v/>
      </c>
      <c r="X88" s="20">
        <f>IF(AND(ISNUMBER(I88),ISNUMBER(J88)),IF(J88=0,"",(I88-J88)/ABS(J88)),"")</f>
        <v/>
      </c>
      <c r="Y88" s="20">
        <f>IF(T88="Advisory","No pass mark",IF(T88="Manual","Claude will check",IF(I88="","Not done yet",IF(T88="Exact",IF(AND(ISNUMBER(I88),ISNUMBER(J88)),IF(ROUND(I88,2)=ROUND(J88,2),"Pass","Fail"),IF(TRIM(LOWER(I88&amp;""))=TRIM(LOWER(J88&amp;"")),"Pass","Fail")),IF(T88="Min",IF(I88&gt;=U88-1E-9,"Pass","Fail"),IF(T88="Between",IF(AND(I88&gt;=U88,I88&lt;=V88),"Pass","Fail"),IF(J88="","Not done yet",IF(T88="±%",IF(X88="","Check correct answer",IF(ABS(X88)*100&lt;=V88+1E-9,"Pass","Fail")),IF(T88="% range",IF(X88="","Check correct answer",IF(AND(X88*100&gt;=U88-1E-9,X88*100&lt;=V88+1E-9),"Pass","Fail")),IF(T88="±abs",IF(ABS(W88)&lt;=V88+1E-9,"Pass","Fail"),"Check type"))))))))))</f>
        <v/>
      </c>
    </row>
    <row r="89">
      <c r="A89" s="15" t="inlineStr">
        <is>
          <t>S2-081</t>
        </is>
      </c>
      <c r="B89" s="15" t="inlineStr">
        <is>
          <t>C</t>
        </is>
      </c>
      <c r="C89" s="15" t="inlineStr">
        <is>
          <t>DXF and IFC export</t>
        </is>
      </c>
      <c r="D89" s="15" t="inlineStr">
        <is>
          <t>Project X1: total area after re-opening the DXF in LibreCAD</t>
        </is>
      </c>
      <c r="E89" s="15" t="inlineStr">
        <is>
          <t>m²</t>
        </is>
      </c>
      <c r="F89" s="15" t="inlineStr">
        <is>
          <t>Book</t>
        </is>
      </c>
      <c r="G89" s="15" t="inlineStr">
        <is>
          <t>App's own area</t>
        </is>
      </c>
      <c r="H89" s="15" t="inlineStr">
        <is>
          <t>Within 0.1% of correct answer</t>
        </is>
      </c>
      <c r="I89" s="16" t="n"/>
      <c r="J89" s="16" t="n"/>
      <c r="K89" s="16" t="n"/>
      <c r="L89" s="25">
        <f>IF(X89="","",X89)</f>
        <v/>
      </c>
      <c r="M89" s="18">
        <f>IF(O89&lt;&gt;"",O89,Y89)</f>
        <v/>
      </c>
      <c r="N89" s="16" t="n"/>
      <c r="O89" s="19" t="n"/>
      <c r="P89" s="19" t="n"/>
      <c r="Q89" s="19" t="n"/>
      <c r="R89" s="20" t="inlineStr">
        <is>
          <t>—</t>
        </is>
      </c>
      <c r="S89" s="20" t="inlineStr">
        <is>
          <t>n/a</t>
        </is>
      </c>
      <c r="T89" s="20" t="inlineStr">
        <is>
          <t>±%</t>
        </is>
      </c>
      <c r="U89" s="20" t="n"/>
      <c r="V89" s="20" t="n">
        <v>0.1</v>
      </c>
      <c r="W89" s="20">
        <f>IF(AND(ISNUMBER(I89),ISNUMBER(J89)),I89-J89,"")</f>
        <v/>
      </c>
      <c r="X89" s="20">
        <f>IF(AND(ISNUMBER(I89),ISNUMBER(J89)),IF(J89=0,"",(I89-J89)/ABS(J89)),"")</f>
        <v/>
      </c>
      <c r="Y89" s="20">
        <f>IF(T89="Advisory","No pass mark",IF(T89="Manual","Claude will check",IF(I89="","Not done yet",IF(T89="Exact",IF(AND(ISNUMBER(I89),ISNUMBER(J89)),IF(ROUND(I89,2)=ROUND(J89,2),"Pass","Fail"),IF(TRIM(LOWER(I89&amp;""))=TRIM(LOWER(J89&amp;"")),"Pass","Fail")),IF(T89="Min",IF(I89&gt;=U89-1E-9,"Pass","Fail"),IF(T89="Between",IF(AND(I89&gt;=U89,I89&lt;=V89),"Pass","Fail"),IF(J89="","Not done yet",IF(T89="±%",IF(X89="","Check correct answer",IF(ABS(X89)*100&lt;=V89+1E-9,"Pass","Fail")),IF(T89="% range",IF(X89="","Check correct answer",IF(AND(X89*100&gt;=U89-1E-9,X89*100&lt;=V89+1E-9),"Pass","Fail")),IF(T89="±abs",IF(ABS(W89)&lt;=V89+1E-9,"Pass","Fail"),"Check type"))))))))))</f>
        <v/>
      </c>
    </row>
    <row r="90">
      <c r="A90" s="15" t="inlineStr">
        <is>
          <t>S2-082</t>
        </is>
      </c>
      <c r="B90" s="15" t="inlineStr">
        <is>
          <t>C</t>
        </is>
      </c>
      <c r="C90" s="15" t="inlineStr">
        <is>
          <t>DXF and IFC export</t>
        </is>
      </c>
      <c r="D90" s="15" t="inlineStr">
        <is>
          <t>Project X1: total area after re-opening the IFC in Bonsai</t>
        </is>
      </c>
      <c r="E90" s="15" t="inlineStr">
        <is>
          <t>m²</t>
        </is>
      </c>
      <c r="F90" s="15" t="inlineStr">
        <is>
          <t>Book</t>
        </is>
      </c>
      <c r="G90" s="15" t="inlineStr">
        <is>
          <t>App's own area</t>
        </is>
      </c>
      <c r="H90" s="15" t="inlineStr">
        <is>
          <t>Within 0.1% of correct answer</t>
        </is>
      </c>
      <c r="I90" s="16" t="n"/>
      <c r="J90" s="16" t="n"/>
      <c r="K90" s="16" t="n"/>
      <c r="L90" s="25">
        <f>IF(X90="","",X90)</f>
        <v/>
      </c>
      <c r="M90" s="18">
        <f>IF(O90&lt;&gt;"",O90,Y90)</f>
        <v/>
      </c>
      <c r="N90" s="16" t="n"/>
      <c r="O90" s="19" t="n"/>
      <c r="P90" s="19" t="n"/>
      <c r="Q90" s="19" t="n"/>
      <c r="R90" s="20" t="inlineStr">
        <is>
          <t>—</t>
        </is>
      </c>
      <c r="S90" s="20" t="inlineStr">
        <is>
          <t>n/a</t>
        </is>
      </c>
      <c r="T90" s="20" t="inlineStr">
        <is>
          <t>±%</t>
        </is>
      </c>
      <c r="U90" s="20" t="n"/>
      <c r="V90" s="20" t="n">
        <v>0.1</v>
      </c>
      <c r="W90" s="20">
        <f>IF(AND(ISNUMBER(I90),ISNUMBER(J90)),I90-J90,"")</f>
        <v/>
      </c>
      <c r="X90" s="20">
        <f>IF(AND(ISNUMBER(I90),ISNUMBER(J90)),IF(J90=0,"",(I90-J90)/ABS(J90)),"")</f>
        <v/>
      </c>
      <c r="Y90" s="20">
        <f>IF(T90="Advisory","No pass mark",IF(T90="Manual","Claude will check",IF(I90="","Not done yet",IF(T90="Exact",IF(AND(ISNUMBER(I90),ISNUMBER(J90)),IF(ROUND(I90,2)=ROUND(J90,2),"Pass","Fail"),IF(TRIM(LOWER(I90&amp;""))=TRIM(LOWER(J90&amp;"")),"Pass","Fail")),IF(T90="Min",IF(I90&gt;=U90-1E-9,"Pass","Fail"),IF(T90="Between",IF(AND(I90&gt;=U90,I90&lt;=V90),"Pass","Fail"),IF(J90="","Not done yet",IF(T90="±%",IF(X90="","Check correct answer",IF(ABS(X90)*100&lt;=V90+1E-9,"Pass","Fail")),IF(T90="% range",IF(X90="","Check correct answer",IF(AND(X90*100&gt;=U90-1E-9,X90*100&lt;=V90+1E-9),"Pass","Fail")),IF(T90="±abs",IF(ABS(W90)&lt;=V90+1E-9,"Pass","Fail"),"Check type"))))))))))</f>
        <v/>
      </c>
    </row>
    <row r="91">
      <c r="A91" s="15" t="inlineStr">
        <is>
          <t>S2-083</t>
        </is>
      </c>
      <c r="B91" s="15" t="inlineStr">
        <is>
          <t>C</t>
        </is>
      </c>
      <c r="C91" s="15" t="inlineStr">
        <is>
          <t>DXF and IFC export</t>
        </is>
      </c>
      <c r="D91" s="15" t="inlineStr">
        <is>
          <t>Project X2: total area after re-opening the DXF in LibreCAD</t>
        </is>
      </c>
      <c r="E91" s="15" t="inlineStr">
        <is>
          <t>m²</t>
        </is>
      </c>
      <c r="F91" s="15" t="inlineStr">
        <is>
          <t>Book</t>
        </is>
      </c>
      <c r="G91" s="15" t="inlineStr">
        <is>
          <t>App's own area</t>
        </is>
      </c>
      <c r="H91" s="15" t="inlineStr">
        <is>
          <t>Within 0.1% of correct answer</t>
        </is>
      </c>
      <c r="I91" s="16" t="n"/>
      <c r="J91" s="16" t="n"/>
      <c r="K91" s="16" t="n"/>
      <c r="L91" s="25">
        <f>IF(X91="","",X91)</f>
        <v/>
      </c>
      <c r="M91" s="18">
        <f>IF(O91&lt;&gt;"",O91,Y91)</f>
        <v/>
      </c>
      <c r="N91" s="16" t="n"/>
      <c r="O91" s="19" t="n"/>
      <c r="P91" s="19" t="n"/>
      <c r="Q91" s="19" t="n"/>
      <c r="R91" s="20" t="inlineStr">
        <is>
          <t>—</t>
        </is>
      </c>
      <c r="S91" s="20" t="inlineStr">
        <is>
          <t>n/a</t>
        </is>
      </c>
      <c r="T91" s="20" t="inlineStr">
        <is>
          <t>±%</t>
        </is>
      </c>
      <c r="U91" s="20" t="n"/>
      <c r="V91" s="20" t="n">
        <v>0.1</v>
      </c>
      <c r="W91" s="20">
        <f>IF(AND(ISNUMBER(I91),ISNUMBER(J91)),I91-J91,"")</f>
        <v/>
      </c>
      <c r="X91" s="20">
        <f>IF(AND(ISNUMBER(I91),ISNUMBER(J91)),IF(J91=0,"",(I91-J91)/ABS(J91)),"")</f>
        <v/>
      </c>
      <c r="Y91" s="20">
        <f>IF(T91="Advisory","No pass mark",IF(T91="Manual","Claude will check",IF(I91="","Not done yet",IF(T91="Exact",IF(AND(ISNUMBER(I91),ISNUMBER(J91)),IF(ROUND(I91,2)=ROUND(J91,2),"Pass","Fail"),IF(TRIM(LOWER(I91&amp;""))=TRIM(LOWER(J91&amp;"")),"Pass","Fail")),IF(T91="Min",IF(I91&gt;=U91-1E-9,"Pass","Fail"),IF(T91="Between",IF(AND(I91&gt;=U91,I91&lt;=V91),"Pass","Fail"),IF(J91="","Not done yet",IF(T91="±%",IF(X91="","Check correct answer",IF(ABS(X91)*100&lt;=V91+1E-9,"Pass","Fail")),IF(T91="% range",IF(X91="","Check correct answer",IF(AND(X91*100&gt;=U91-1E-9,X91*100&lt;=V91+1E-9),"Pass","Fail")),IF(T91="±abs",IF(ABS(W91)&lt;=V91+1E-9,"Pass","Fail"),"Check type"))))))))))</f>
        <v/>
      </c>
    </row>
    <row r="92">
      <c r="A92" s="15" t="inlineStr">
        <is>
          <t>S2-084</t>
        </is>
      </c>
      <c r="B92" s="15" t="inlineStr">
        <is>
          <t>C</t>
        </is>
      </c>
      <c r="C92" s="15" t="inlineStr">
        <is>
          <t>DXF and IFC export</t>
        </is>
      </c>
      <c r="D92" s="15" t="inlineStr">
        <is>
          <t>Project X2: total area after re-opening the IFC in Bonsai</t>
        </is>
      </c>
      <c r="E92" s="15" t="inlineStr">
        <is>
          <t>m²</t>
        </is>
      </c>
      <c r="F92" s="15" t="inlineStr">
        <is>
          <t>Book</t>
        </is>
      </c>
      <c r="G92" s="15" t="inlineStr">
        <is>
          <t>App's own area</t>
        </is>
      </c>
      <c r="H92" s="15" t="inlineStr">
        <is>
          <t>Within 0.1% of correct answer</t>
        </is>
      </c>
      <c r="I92" s="16" t="n"/>
      <c r="J92" s="16" t="n"/>
      <c r="K92" s="16" t="n"/>
      <c r="L92" s="25">
        <f>IF(X92="","",X92)</f>
        <v/>
      </c>
      <c r="M92" s="18">
        <f>IF(O92&lt;&gt;"",O92,Y92)</f>
        <v/>
      </c>
      <c r="N92" s="16" t="n"/>
      <c r="O92" s="19" t="n"/>
      <c r="P92" s="19" t="n"/>
      <c r="Q92" s="19" t="n"/>
      <c r="R92" s="20" t="inlineStr">
        <is>
          <t>—</t>
        </is>
      </c>
      <c r="S92" s="20" t="inlineStr">
        <is>
          <t>n/a</t>
        </is>
      </c>
      <c r="T92" s="20" t="inlineStr">
        <is>
          <t>±%</t>
        </is>
      </c>
      <c r="U92" s="20" t="n"/>
      <c r="V92" s="20" t="n">
        <v>0.1</v>
      </c>
      <c r="W92" s="20">
        <f>IF(AND(ISNUMBER(I92),ISNUMBER(J92)),I92-J92,"")</f>
        <v/>
      </c>
      <c r="X92" s="20">
        <f>IF(AND(ISNUMBER(I92),ISNUMBER(J92)),IF(J92=0,"",(I92-J92)/ABS(J92)),"")</f>
        <v/>
      </c>
      <c r="Y92" s="20">
        <f>IF(T92="Advisory","No pass mark",IF(T92="Manual","Claude will check",IF(I92="","Not done yet",IF(T92="Exact",IF(AND(ISNUMBER(I92),ISNUMBER(J92)),IF(ROUND(I92,2)=ROUND(J92,2),"Pass","Fail"),IF(TRIM(LOWER(I92&amp;""))=TRIM(LOWER(J92&amp;"")),"Pass","Fail")),IF(T92="Min",IF(I92&gt;=U92-1E-9,"Pass","Fail"),IF(T92="Between",IF(AND(I92&gt;=U92,I92&lt;=V92),"Pass","Fail"),IF(J92="","Not done yet",IF(T92="±%",IF(X92="","Check correct answer",IF(ABS(X92)*100&lt;=V92+1E-9,"Pass","Fail")),IF(T92="% range",IF(X92="","Check correct answer",IF(AND(X92*100&gt;=U92-1E-9,X92*100&lt;=V92+1E-9),"Pass","Fail")),IF(T92="±abs",IF(ABS(W92)&lt;=V92+1E-9,"Pass","Fail"),"Check type"))))))))))</f>
        <v/>
      </c>
    </row>
    <row r="93">
      <c r="A93" s="15" t="inlineStr">
        <is>
          <t>S2-085</t>
        </is>
      </c>
      <c r="B93" s="15" t="inlineStr">
        <is>
          <t>C</t>
        </is>
      </c>
      <c r="C93" s="15" t="inlineStr">
        <is>
          <t>DXF and IFC export</t>
        </is>
      </c>
      <c r="D93" s="15" t="inlineStr">
        <is>
          <t>Project X3: total area after re-opening the DXF in LibreCAD</t>
        </is>
      </c>
      <c r="E93" s="15" t="inlineStr">
        <is>
          <t>m²</t>
        </is>
      </c>
      <c r="F93" s="15" t="inlineStr">
        <is>
          <t>Book</t>
        </is>
      </c>
      <c r="G93" s="15" t="inlineStr">
        <is>
          <t>App's own area</t>
        </is>
      </c>
      <c r="H93" s="15" t="inlineStr">
        <is>
          <t>Within 0.1% of correct answer</t>
        </is>
      </c>
      <c r="I93" s="16" t="n"/>
      <c r="J93" s="16" t="n"/>
      <c r="K93" s="16" t="n"/>
      <c r="L93" s="25">
        <f>IF(X93="","",X93)</f>
        <v/>
      </c>
      <c r="M93" s="18">
        <f>IF(O93&lt;&gt;"",O93,Y93)</f>
        <v/>
      </c>
      <c r="N93" s="16" t="n"/>
      <c r="O93" s="19" t="n"/>
      <c r="P93" s="19" t="n"/>
      <c r="Q93" s="19" t="n"/>
      <c r="R93" s="20" t="inlineStr">
        <is>
          <t>—</t>
        </is>
      </c>
      <c r="S93" s="20" t="inlineStr">
        <is>
          <t>n/a</t>
        </is>
      </c>
      <c r="T93" s="20" t="inlineStr">
        <is>
          <t>±%</t>
        </is>
      </c>
      <c r="U93" s="20" t="n"/>
      <c r="V93" s="20" t="n">
        <v>0.1</v>
      </c>
      <c r="W93" s="20">
        <f>IF(AND(ISNUMBER(I93),ISNUMBER(J93)),I93-J93,"")</f>
        <v/>
      </c>
      <c r="X93" s="20">
        <f>IF(AND(ISNUMBER(I93),ISNUMBER(J93)),IF(J93=0,"",(I93-J93)/ABS(J93)),"")</f>
        <v/>
      </c>
      <c r="Y93" s="20">
        <f>IF(T93="Advisory","No pass mark",IF(T93="Manual","Claude will check",IF(I93="","Not done yet",IF(T93="Exact",IF(AND(ISNUMBER(I93),ISNUMBER(J93)),IF(ROUND(I93,2)=ROUND(J93,2),"Pass","Fail"),IF(TRIM(LOWER(I93&amp;""))=TRIM(LOWER(J93&amp;"")),"Pass","Fail")),IF(T93="Min",IF(I93&gt;=U93-1E-9,"Pass","Fail"),IF(T93="Between",IF(AND(I93&gt;=U93,I93&lt;=V93),"Pass","Fail"),IF(J93="","Not done yet",IF(T93="±%",IF(X93="","Check correct answer",IF(ABS(X93)*100&lt;=V93+1E-9,"Pass","Fail")),IF(T93="% range",IF(X93="","Check correct answer",IF(AND(X93*100&gt;=U93-1E-9,X93*100&lt;=V93+1E-9),"Pass","Fail")),IF(T93="±abs",IF(ABS(W93)&lt;=V93+1E-9,"Pass","Fail"),"Check type"))))))))))</f>
        <v/>
      </c>
    </row>
    <row r="94">
      <c r="A94" s="15" t="inlineStr">
        <is>
          <t>S2-086</t>
        </is>
      </c>
      <c r="B94" s="15" t="inlineStr">
        <is>
          <t>C</t>
        </is>
      </c>
      <c r="C94" s="15" t="inlineStr">
        <is>
          <t>DXF and IFC export</t>
        </is>
      </c>
      <c r="D94" s="15" t="inlineStr">
        <is>
          <t>Project X3: total area after re-opening the IFC in Bonsai</t>
        </is>
      </c>
      <c r="E94" s="15" t="inlineStr">
        <is>
          <t>m²</t>
        </is>
      </c>
      <c r="F94" s="15" t="inlineStr">
        <is>
          <t>Book</t>
        </is>
      </c>
      <c r="G94" s="15" t="inlineStr">
        <is>
          <t>App's own area</t>
        </is>
      </c>
      <c r="H94" s="15" t="inlineStr">
        <is>
          <t>Within 0.1% of correct answer</t>
        </is>
      </c>
      <c r="I94" s="16" t="n"/>
      <c r="J94" s="16" t="n"/>
      <c r="K94" s="16" t="n"/>
      <c r="L94" s="25">
        <f>IF(X94="","",X94)</f>
        <v/>
      </c>
      <c r="M94" s="18">
        <f>IF(O94&lt;&gt;"",O94,Y94)</f>
        <v/>
      </c>
      <c r="N94" s="16" t="n"/>
      <c r="O94" s="19" t="n"/>
      <c r="P94" s="19" t="n"/>
      <c r="Q94" s="19" t="n"/>
      <c r="R94" s="20" t="inlineStr">
        <is>
          <t>—</t>
        </is>
      </c>
      <c r="S94" s="20" t="inlineStr">
        <is>
          <t>n/a</t>
        </is>
      </c>
      <c r="T94" s="20" t="inlineStr">
        <is>
          <t>±%</t>
        </is>
      </c>
      <c r="U94" s="20" t="n"/>
      <c r="V94" s="20" t="n">
        <v>0.1</v>
      </c>
      <c r="W94" s="20">
        <f>IF(AND(ISNUMBER(I94),ISNUMBER(J94)),I94-J94,"")</f>
        <v/>
      </c>
      <c r="X94" s="20">
        <f>IF(AND(ISNUMBER(I94),ISNUMBER(J94)),IF(J94=0,"",(I94-J94)/ABS(J94)),"")</f>
        <v/>
      </c>
      <c r="Y94" s="20">
        <f>IF(T94="Advisory","No pass mark",IF(T94="Manual","Claude will check",IF(I94="","Not done yet",IF(T94="Exact",IF(AND(ISNUMBER(I94),ISNUMBER(J94)),IF(ROUND(I94,2)=ROUND(J94,2),"Pass","Fail"),IF(TRIM(LOWER(I94&amp;""))=TRIM(LOWER(J94&amp;"")),"Pass","Fail")),IF(T94="Min",IF(I94&gt;=U94-1E-9,"Pass","Fail"),IF(T94="Between",IF(AND(I94&gt;=U94,I94&lt;=V94),"Pass","Fail"),IF(J94="","Not done yet",IF(T94="±%",IF(X94="","Check correct answer",IF(ABS(X94)*100&lt;=V94+1E-9,"Pass","Fail")),IF(T94="% range",IF(X94="","Check correct answer",IF(AND(X94*100&gt;=U94-1E-9,X94*100&lt;=V94+1E-9),"Pass","Fail")),IF(T94="±abs",IF(ABS(W94)&lt;=V94+1E-9,"Pass","Fail"),"Check type"))))))))))</f>
        <v/>
      </c>
    </row>
    <row r="95">
      <c r="A95" s="15" t="inlineStr">
        <is>
          <t>S2-087</t>
        </is>
      </c>
      <c r="B95" s="15" t="inlineStr">
        <is>
          <t>C</t>
        </is>
      </c>
      <c r="C95" s="15" t="inlineStr">
        <is>
          <t>Vastu</t>
        </is>
      </c>
      <c r="D95" s="15" t="inlineStr">
        <is>
          <t>Rule cases behave as written</t>
        </is>
      </c>
      <c r="E95" s="15" t="inlineStr">
        <is>
          <t>—</t>
        </is>
      </c>
      <c r="F95" s="15" t="inlineStr">
        <is>
          <t>Book</t>
        </is>
      </c>
      <c r="G95" s="15" t="inlineStr">
        <is>
          <t>Rule cases (no ground truth)</t>
        </is>
      </c>
      <c r="H95" s="15" t="inlineStr">
        <is>
          <t>No pass mark (advisory)</t>
        </is>
      </c>
      <c r="I95" s="16" t="n"/>
      <c r="J95" s="16" t="n"/>
      <c r="K95" s="16" t="n"/>
      <c r="L95" s="17" t="n"/>
      <c r="M95" s="18">
        <f>IF(O95&lt;&gt;"",O95,Y95)</f>
        <v/>
      </c>
      <c r="N95" s="16" t="n"/>
      <c r="O95" s="19" t="n"/>
      <c r="P95" s="19" t="n"/>
      <c r="Q95" s="19" t="n"/>
      <c r="R95" s="20" t="inlineStr">
        <is>
          <t>—</t>
        </is>
      </c>
      <c r="S95" s="20" t="inlineStr">
        <is>
          <t>n/a</t>
        </is>
      </c>
      <c r="T95" s="20" t="inlineStr">
        <is>
          <t>Advisory</t>
        </is>
      </c>
      <c r="U95" s="20" t="n"/>
      <c r="V95" s="20" t="n"/>
      <c r="W95" s="20">
        <f>IF(AND(ISNUMBER(I95),ISNUMBER(J95)),I95-J95,"")</f>
        <v/>
      </c>
      <c r="X95" s="20">
        <f>IF(AND(ISNUMBER(I95),ISNUMBER(J95)),IF(J95=0,"",(I95-J95)/ABS(J95)),"")</f>
        <v/>
      </c>
      <c r="Y95" s="20">
        <f>IF(T95="Advisory","No pass mark",IF(T95="Manual","Claude will check",IF(I95="","Not done yet",IF(T95="Exact",IF(AND(ISNUMBER(I95),ISNUMBER(J95)),IF(ROUND(I95,2)=ROUND(J95,2),"Pass","Fail"),IF(TRIM(LOWER(I95&amp;""))=TRIM(LOWER(J95&amp;"")),"Pass","Fail")),IF(T95="Min",IF(I95&gt;=U95-1E-9,"Pass","Fail"),IF(T95="Between",IF(AND(I95&gt;=U95,I95&lt;=V95),"Pass","Fail"),IF(J95="","Not done yet",IF(T95="±%",IF(X95="","Check correct answer",IF(ABS(X95)*100&lt;=V95+1E-9,"Pass","Fail")),IF(T95="% range",IF(X95="","Check correct answer",IF(AND(X95*100&gt;=U95-1E-9,X95*100&lt;=V95+1E-9),"Pass","Fail")),IF(T95="±abs",IF(ABS(W95)&lt;=V95+1E-9,"Pass","Fail"),"Check type"))))))))))</f>
        <v/>
      </c>
    </row>
  </sheetData>
  <autoFilter ref="A5:Q95"/>
  <mergeCells count="1">
    <mergeCell ref="A2:N3"/>
  </mergeCells>
  <conditionalFormatting sqref="M6:M195">
    <cfRule type="cellIs" priority="1" operator="equal" dxfId="1">
      <formula>"Pass"</formula>
    </cfRule>
    <cfRule type="cellIs" priority="2" operator="equal" dxfId="2">
      <formula>"Fail"</formula>
    </cfRule>
  </conditionalFormatting>
  <dataValidations count="4">
    <dataValidation sqref="I37 I75 I76 I77 I78 I79 I80 I81 I82 I83 I84 I85" showDropDown="0" showInputMessage="0" showErrorMessage="0" allowBlank="1" type="list">
      <formula1>"Yes,No"</formula1>
    </dataValidation>
    <dataValidation sqref="I43 I44 I45 I46 I47 I48 I49 I50 I51 I52" showDropDown="0" showInputMessage="0" showErrorMessage="0" allowBlank="1" type="list">
      <formula1>"Pass,Fail"</formula1>
    </dataValidation>
    <dataValidation sqref="O6:O195" showDropDown="0" showInputMessage="0" showErrorMessage="0" allowBlank="1" type="list">
      <formula1>"Pass,Fail,Not tested"</formula1>
    </dataValidation>
    <dataValidation sqref="Q6:Q195" showDropDown="0" showInputMessage="0" showErrorMessage="0" allowBlank="1" type="list">
      <formula1>"App bug (our code),We entered wrong input,Measured a different way,Not sure the book/RERA value is right,Limit of the app's method"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0"/>
    <pageSetUpPr/>
  </sheetPr>
  <dimension ref="A1:Y89"/>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8" customWidth="1" min="3" max="3"/>
    <col width="46" customWidth="1" min="4" max="4"/>
    <col width="10" customWidth="1" min="5" max="5"/>
    <col width="8" customWidth="1" min="6" max="6"/>
    <col width="30" customWidth="1" min="7" max="7"/>
    <col width="24" customWidth="1" min="8" max="8"/>
    <col width="13" customWidth="1" min="9" max="9"/>
    <col width="13" customWidth="1" min="10" max="10"/>
    <col width="28" customWidth="1" min="11" max="11"/>
    <col width="10" customWidth="1" min="12" max="12"/>
    <col width="13" customWidth="1" min="13" max="13"/>
    <col width="30" customWidth="1" min="14" max="14"/>
    <col width="11" customWidth="1" min="15" max="15"/>
    <col width="11" customWidth="1" min="16" max="16"/>
    <col width="18" customWidth="1" min="17" max="17"/>
    <col hidden="1" outlineLevel="1" width="24" customWidth="1" min="18" max="25"/>
  </cols>
  <sheetData>
    <row r="1">
      <c r="A1" s="4" t="inlineStr">
        <is>
          <t>Stage 3 Engineering (weeks 5 to 7)</t>
        </is>
      </c>
    </row>
    <row r="2" ht="22" customHeight="1">
      <c r="A2" s="10" t="inlineStr">
        <is>
          <t>HOW TO FILL:  1) Find your letter.  2) Run the test in the app and type its answer in App answer.  3) Type the correct answer from the book or RERA in Correct answer (some are already filled).  4) Write where you got it.  5) Result fills itself. Don't change grey cells.</t>
        </is>
      </c>
    </row>
    <row r="3" ht="22" customHeight="1"/>
    <row r="4">
      <c r="A4" s="11" t="inlineStr">
        <is>
          <t>Yellow = you fill  ·  Grey = fixed plan, don't change  ·  Blue = Claude fills  ·  Click + above column R to see technical details</t>
        </is>
      </c>
    </row>
    <row r="5" ht="42" customHeight="1">
      <c r="A5" s="6" t="inlineStr">
        <is>
          <t>#</t>
        </is>
      </c>
      <c r="B5" s="6" t="inlineStr">
        <is>
          <t>Who</t>
        </is>
      </c>
      <c r="C5" s="6" t="inlineStr">
        <is>
          <t>Topic</t>
        </is>
      </c>
      <c r="D5" s="6" t="inlineStr">
        <is>
          <t>What to test</t>
        </is>
      </c>
      <c r="E5" s="6" t="inlineStr">
        <is>
          <t>Unit</t>
        </is>
      </c>
      <c r="F5" s="6" t="inlineStr">
        <is>
          <t>Type</t>
        </is>
      </c>
      <c r="G5" s="6" t="inlineStr">
        <is>
          <t>Compare with</t>
        </is>
      </c>
      <c r="H5" s="6" t="inlineStr">
        <is>
          <t>Pass if</t>
        </is>
      </c>
      <c r="I5" s="6" t="inlineStr">
        <is>
          <t>App answer</t>
        </is>
      </c>
      <c r="J5" s="6" t="inlineStr">
        <is>
          <t>Correct answer</t>
        </is>
      </c>
      <c r="K5" s="6" t="inlineStr">
        <is>
          <t>Where you got it (book + page, or RERA no.)</t>
        </is>
      </c>
      <c r="L5" s="6" t="inlineStr">
        <is>
          <t>Off by</t>
        </is>
      </c>
      <c r="M5" s="6" t="inlineStr">
        <is>
          <t>Result</t>
        </is>
      </c>
      <c r="N5" s="6" t="inlineStr">
        <is>
          <t>Notes</t>
        </is>
      </c>
      <c r="O5" s="12" t="inlineStr">
        <is>
          <t>Claude: override</t>
        </is>
      </c>
      <c r="P5" s="12" t="inlineStr">
        <is>
          <t>Claude: first-run result</t>
        </is>
      </c>
      <c r="Q5" s="12" t="inlineStr">
        <is>
          <t>Claude: why it failed</t>
        </is>
      </c>
      <c r="R5" s="6" t="inlineStr">
        <is>
          <t>Code / clause</t>
        </is>
      </c>
      <c r="S5" s="6" t="inlineStr">
        <is>
          <t>Edition</t>
        </is>
      </c>
      <c r="T5" s="6" t="inlineStr">
        <is>
          <t>Tol type</t>
        </is>
      </c>
      <c r="U5" s="6" t="inlineStr">
        <is>
          <t>Tol low</t>
        </is>
      </c>
      <c r="V5" s="6" t="inlineStr">
        <is>
          <t>Tol high</t>
        </is>
      </c>
      <c r="W5" s="6" t="inlineStr">
        <is>
          <t>Difference</t>
        </is>
      </c>
      <c r="X5" s="6" t="inlineStr">
        <is>
          <t>Error %</t>
        </is>
      </c>
      <c r="Y5" s="6" t="inlineStr">
        <is>
          <t>Auto result</t>
        </is>
      </c>
    </row>
    <row r="6">
      <c r="A6" s="13" t="n"/>
      <c r="B6" s="14" t="inlineStr">
        <is>
          <t>A's tests (24)</t>
        </is>
      </c>
      <c r="C6" s="13" t="n"/>
      <c r="D6" s="13" t="n"/>
      <c r="E6" s="13" t="n"/>
      <c r="F6" s="13" t="n"/>
      <c r="G6" s="13" t="n"/>
      <c r="H6" s="13" t="n"/>
      <c r="I6" s="13" t="n"/>
      <c r="J6" s="13" t="n"/>
      <c r="K6" s="13" t="n"/>
      <c r="L6" s="13" t="n"/>
      <c r="M6" s="13" t="n"/>
      <c r="N6" s="13" t="n"/>
      <c r="O6" s="13" t="n"/>
      <c r="P6" s="13" t="n"/>
      <c r="Q6" s="13" t="n"/>
    </row>
    <row r="7">
      <c r="A7" s="15" t="inlineStr">
        <is>
          <t>S3-001</t>
        </is>
      </c>
      <c r="B7" s="15" t="inlineStr">
        <is>
          <t>A</t>
        </is>
      </c>
      <c r="C7" s="15" t="inlineStr">
        <is>
          <t>Seismic</t>
        </is>
      </c>
      <c r="D7" s="15" t="inlineStr">
        <is>
          <t>IITGN EQ3 Example 1: seismic weight W</t>
        </is>
      </c>
      <c r="E7" s="15" t="inlineStr">
        <is>
          <t>kN</t>
        </is>
      </c>
      <c r="F7" s="15" t="inlineStr">
        <is>
          <t>Book</t>
        </is>
      </c>
      <c r="G7" s="15" t="inlineStr">
        <is>
          <t>IITGN-WB EQ3 Example 1</t>
        </is>
      </c>
      <c r="H7" s="15" t="inlineStr">
        <is>
          <t>Within 1% of correct answer</t>
        </is>
      </c>
      <c r="I7" s="16" t="n"/>
      <c r="J7" s="16" t="n">
        <v>15600</v>
      </c>
      <c r="K7" s="16" t="n"/>
      <c r="L7" s="25">
        <f>IF(X7="","",X7)</f>
        <v/>
      </c>
      <c r="M7" s="18">
        <f>IF(O7&lt;&gt;"",O7,Y7)</f>
        <v/>
      </c>
      <c r="N7" s="16" t="n"/>
      <c r="O7" s="19" t="n"/>
      <c r="P7" s="19" t="n"/>
      <c r="Q7" s="19" t="n"/>
      <c r="R7" s="20" t="inlineStr">
        <is>
          <t>IS 1893 (Part 1):2016 Cl. 7.4</t>
        </is>
      </c>
      <c r="S7" s="20" t="inlineStr">
        <is>
          <t>IS 1893:2016</t>
        </is>
      </c>
      <c r="T7" s="20" t="inlineStr">
        <is>
          <t>±%</t>
        </is>
      </c>
      <c r="U7" s="20" t="n"/>
      <c r="V7" s="20" t="n">
        <v>1</v>
      </c>
      <c r="W7" s="20">
        <f>IF(AND(ISNUMBER(I7),ISNUMBER(J7)),I7-J7,"")</f>
        <v/>
      </c>
      <c r="X7" s="20">
        <f>IF(AND(ISNUMBER(I7),ISNUMBER(J7)),IF(J7=0,"",(I7-J7)/ABS(J7)),"")</f>
        <v/>
      </c>
      <c r="Y7" s="20">
        <f>IF(T7="Advisory","No pass mark",IF(T7="Manual","Claude will check",IF(I7="","Not done yet",IF(T7="Exact",IF(AND(ISNUMBER(I7),ISNUMBER(J7)),IF(ROUND(I7,2)=ROUND(J7,2),"Pass","Fail"),IF(TRIM(LOWER(I7&amp;""))=TRIM(LOWER(J7&amp;"")),"Pass","Fail")),IF(T7="Min",IF(I7&gt;=U7-1E-9,"Pass","Fail"),IF(T7="Between",IF(AND(I7&gt;=U7,I7&lt;=V7),"Pass","Fail"),IF(J7="","Not done yet",IF(T7="±%",IF(X7="","Check correct answer",IF(ABS(X7)*100&lt;=V7+1E-9,"Pass","Fail")),IF(T7="% range",IF(X7="","Check correct answer",IF(AND(X7*100&gt;=U7-1E-9,X7*100&lt;=V7+1E-9),"Pass","Fail")),IF(T7="±abs",IF(ABS(W7)&lt;=V7+1E-9,"Pass","Fail"),"Check type"))))))))))</f>
        <v/>
      </c>
    </row>
    <row r="8">
      <c r="A8" s="15" t="inlineStr">
        <is>
          <t>S3-002</t>
        </is>
      </c>
      <c r="B8" s="15" t="inlineStr">
        <is>
          <t>A</t>
        </is>
      </c>
      <c r="C8" s="15" t="inlineStr">
        <is>
          <t>Seismic</t>
        </is>
      </c>
      <c r="D8" s="15" t="inlineStr">
        <is>
          <t>IITGN EQ3 Example 1: design horizontal coefficient Ah</t>
        </is>
      </c>
      <c r="E8" s="15" t="inlineStr">
        <is>
          <t>—</t>
        </is>
      </c>
      <c r="F8" s="15" t="inlineStr">
        <is>
          <t>Book</t>
        </is>
      </c>
      <c r="G8" s="15" t="inlineStr">
        <is>
          <t>IITGN-WB EQ3 Example 1</t>
        </is>
      </c>
      <c r="H8" s="15" t="inlineStr">
        <is>
          <t>Within 1% of correct answer</t>
        </is>
      </c>
      <c r="I8" s="16" t="n"/>
      <c r="J8" s="16" t="n">
        <v>0.09</v>
      </c>
      <c r="K8" s="16" t="n"/>
      <c r="L8" s="25">
        <f>IF(X8="","",X8)</f>
        <v/>
      </c>
      <c r="M8" s="18">
        <f>IF(O8&lt;&gt;"",O8,Y8)</f>
        <v/>
      </c>
      <c r="N8" s="16" t="n"/>
      <c r="O8" s="19" t="n"/>
      <c r="P8" s="19" t="n"/>
      <c r="Q8" s="19" t="n"/>
      <c r="R8" s="20" t="inlineStr">
        <is>
          <t>IS 1893 (Part 1):2016 Cl. 6.4.2</t>
        </is>
      </c>
      <c r="S8" s="20" t="inlineStr">
        <is>
          <t>IS 1893:2016</t>
        </is>
      </c>
      <c r="T8" s="20" t="inlineStr">
        <is>
          <t>±%</t>
        </is>
      </c>
      <c r="U8" s="20" t="n"/>
      <c r="V8" s="20" t="n">
        <v>1</v>
      </c>
      <c r="W8" s="20">
        <f>IF(AND(ISNUMBER(I8),ISNUMBER(J8)),I8-J8,"")</f>
        <v/>
      </c>
      <c r="X8" s="20">
        <f>IF(AND(ISNUMBER(I8),ISNUMBER(J8)),IF(J8=0,"",(I8-J8)/ABS(J8)),"")</f>
        <v/>
      </c>
      <c r="Y8" s="20">
        <f>IF(T8="Advisory","No pass mark",IF(T8="Manual","Claude will check",IF(I8="","Not done yet",IF(T8="Exact",IF(AND(ISNUMBER(I8),ISNUMBER(J8)),IF(ROUND(I8,2)=ROUND(J8,2),"Pass","Fail"),IF(TRIM(LOWER(I8&amp;""))=TRIM(LOWER(J8&amp;"")),"Pass","Fail")),IF(T8="Min",IF(I8&gt;=U8-1E-9,"Pass","Fail"),IF(T8="Between",IF(AND(I8&gt;=U8,I8&lt;=V8),"Pass","Fail"),IF(J8="","Not done yet",IF(T8="±%",IF(X8="","Check correct answer",IF(ABS(X8)*100&lt;=V8+1E-9,"Pass","Fail")),IF(T8="% range",IF(X8="","Check correct answer",IF(AND(X8*100&gt;=U8-1E-9,X8*100&lt;=V8+1E-9),"Pass","Fail")),IF(T8="±abs",IF(ABS(W8)&lt;=V8+1E-9,"Pass","Fail"),"Check type"))))))))))</f>
        <v/>
      </c>
    </row>
    <row r="9">
      <c r="A9" s="15" t="inlineStr">
        <is>
          <t>S3-003</t>
        </is>
      </c>
      <c r="B9" s="15" t="inlineStr">
        <is>
          <t>A</t>
        </is>
      </c>
      <c r="C9" s="15" t="inlineStr">
        <is>
          <t>Seismic</t>
        </is>
      </c>
      <c r="D9" s="15" t="inlineStr">
        <is>
          <t>IITGN EQ3 Example 1: base shear Vb</t>
        </is>
      </c>
      <c r="E9" s="15" t="inlineStr">
        <is>
          <t>kN</t>
        </is>
      </c>
      <c r="F9" s="15" t="inlineStr">
        <is>
          <t>Book</t>
        </is>
      </c>
      <c r="G9" s="15" t="inlineStr">
        <is>
          <t>IITGN-WB EQ3 Example 1</t>
        </is>
      </c>
      <c r="H9" s="15" t="inlineStr">
        <is>
          <t>Within 1% of correct answer</t>
        </is>
      </c>
      <c r="I9" s="16" t="n"/>
      <c r="J9" s="16" t="n">
        <v>1404</v>
      </c>
      <c r="K9" s="16" t="n"/>
      <c r="L9" s="25">
        <f>IF(X9="","",X9)</f>
        <v/>
      </c>
      <c r="M9" s="18">
        <f>IF(O9&lt;&gt;"",O9,Y9)</f>
        <v/>
      </c>
      <c r="N9" s="16" t="n"/>
      <c r="O9" s="19" t="n"/>
      <c r="P9" s="19" t="n"/>
      <c r="Q9" s="19" t="n"/>
      <c r="R9" s="20" t="inlineStr">
        <is>
          <t>IS 1893 (Part 1):2016 Cl. 7.2.1</t>
        </is>
      </c>
      <c r="S9" s="20" t="inlineStr">
        <is>
          <t>IS 1893:2016</t>
        </is>
      </c>
      <c r="T9" s="20" t="inlineStr">
        <is>
          <t>±%</t>
        </is>
      </c>
      <c r="U9" s="20" t="n"/>
      <c r="V9" s="20" t="n">
        <v>1</v>
      </c>
      <c r="W9" s="20">
        <f>IF(AND(ISNUMBER(I9),ISNUMBER(J9)),I9-J9,"")</f>
        <v/>
      </c>
      <c r="X9" s="20">
        <f>IF(AND(ISNUMBER(I9),ISNUMBER(J9)),IF(J9=0,"",(I9-J9)/ABS(J9)),"")</f>
        <v/>
      </c>
      <c r="Y9" s="20">
        <f>IF(T9="Advisory","No pass mark",IF(T9="Manual","Claude will check",IF(I9="","Not done yet",IF(T9="Exact",IF(AND(ISNUMBER(I9),ISNUMBER(J9)),IF(ROUND(I9,2)=ROUND(J9,2),"Pass","Fail"),IF(TRIM(LOWER(I9&amp;""))=TRIM(LOWER(J9&amp;"")),"Pass","Fail")),IF(T9="Min",IF(I9&gt;=U9-1E-9,"Pass","Fail"),IF(T9="Between",IF(AND(I9&gt;=U9,I9&lt;=V9),"Pass","Fail"),IF(J9="","Not done yet",IF(T9="±%",IF(X9="","Check correct answer",IF(ABS(X9)*100&lt;=V9+1E-9,"Pass","Fail")),IF(T9="% range",IF(X9="","Check correct answer",IF(AND(X9*100&gt;=U9-1E-9,X9*100&lt;=V9+1E-9),"Pass","Fail")),IF(T9="±abs",IF(ABS(W9)&lt;=V9+1E-9,"Pass","Fail"),"Check type"))))))))))</f>
        <v/>
      </c>
    </row>
    <row r="10">
      <c r="A10" s="15" t="inlineStr">
        <is>
          <t>S3-004</t>
        </is>
      </c>
      <c r="B10" s="15" t="inlineStr">
        <is>
          <t>A</t>
        </is>
      </c>
      <c r="C10" s="15" t="inlineStr">
        <is>
          <t>Seismic</t>
        </is>
      </c>
      <c r="D10" s="15" t="inlineStr">
        <is>
          <t>IITGN EQ3 Example 1: storey force, top floor
→ Confirm floor labels against the example</t>
        </is>
      </c>
      <c r="E10" s="15" t="inlineStr">
        <is>
          <t>kN</t>
        </is>
      </c>
      <c r="F10" s="15" t="inlineStr">
        <is>
          <t>Book</t>
        </is>
      </c>
      <c r="G10" s="15" t="inlineStr">
        <is>
          <t>IITGN-WB EQ3 Example 1</t>
        </is>
      </c>
      <c r="H10" s="15" t="inlineStr">
        <is>
          <t>Within 1% of correct answer</t>
        </is>
      </c>
      <c r="I10" s="16" t="n"/>
      <c r="J10" s="16" t="n">
        <v>595</v>
      </c>
      <c r="K10" s="16" t="n"/>
      <c r="L10" s="25">
        <f>IF(X10="","",X10)</f>
        <v/>
      </c>
      <c r="M10" s="18">
        <f>IF(O10&lt;&gt;"",O10,Y10)</f>
        <v/>
      </c>
      <c r="N10" s="16" t="n"/>
      <c r="O10" s="19" t="n"/>
      <c r="P10" s="19" t="n"/>
      <c r="Q10" s="19" t="n"/>
      <c r="R10" s="20" t="inlineStr">
        <is>
          <t>IS 1893 (Part 1):2016 Cl. 7.7.1</t>
        </is>
      </c>
      <c r="S10" s="20" t="inlineStr">
        <is>
          <t>IS 1893:2016</t>
        </is>
      </c>
      <c r="T10" s="20" t="inlineStr">
        <is>
          <t>±%</t>
        </is>
      </c>
      <c r="U10" s="20" t="n"/>
      <c r="V10" s="20" t="n">
        <v>1</v>
      </c>
      <c r="W10" s="20">
        <f>IF(AND(ISNUMBER(I10),ISNUMBER(J10)),I10-J10,"")</f>
        <v/>
      </c>
      <c r="X10" s="20">
        <f>IF(AND(ISNUMBER(I10),ISNUMBER(J10)),IF(J10=0,"",(I10-J10)/ABS(J10)),"")</f>
        <v/>
      </c>
      <c r="Y10" s="20">
        <f>IF(T10="Advisory","No pass mark",IF(T10="Manual","Claude will check",IF(I10="","Not done yet",IF(T10="Exact",IF(AND(ISNUMBER(I10),ISNUMBER(J10)),IF(ROUND(I10,2)=ROUND(J10,2),"Pass","Fail"),IF(TRIM(LOWER(I10&amp;""))=TRIM(LOWER(J10&amp;"")),"Pass","Fail")),IF(T10="Min",IF(I10&gt;=U10-1E-9,"Pass","Fail"),IF(T10="Between",IF(AND(I10&gt;=U10,I10&lt;=V10),"Pass","Fail"),IF(J10="","Not done yet",IF(T10="±%",IF(X10="","Check correct answer",IF(ABS(X10)*100&lt;=V10+1E-9,"Pass","Fail")),IF(T10="% range",IF(X10="","Check correct answer",IF(AND(X10*100&gt;=U10-1E-9,X10*100&lt;=V10+1E-9),"Pass","Fail")),IF(T10="±abs",IF(ABS(W10)&lt;=V10+1E-9,"Pass","Fail"),"Check type"))))))))))</f>
        <v/>
      </c>
    </row>
    <row r="11">
      <c r="A11" s="15" t="inlineStr">
        <is>
          <t>S3-005</t>
        </is>
      </c>
      <c r="B11" s="15" t="inlineStr">
        <is>
          <t>A</t>
        </is>
      </c>
      <c r="C11" s="15" t="inlineStr">
        <is>
          <t>Seismic</t>
        </is>
      </c>
      <c r="D11" s="15" t="inlineStr">
        <is>
          <t>IITGN EQ3 Example 1: storey force, floor 3
→ Confirm floor labels against the example</t>
        </is>
      </c>
      <c r="E11" s="15" t="inlineStr">
        <is>
          <t>kN</t>
        </is>
      </c>
      <c r="F11" s="15" t="inlineStr">
        <is>
          <t>Book</t>
        </is>
      </c>
      <c r="G11" s="15" t="inlineStr">
        <is>
          <t>IITGN-WB EQ3 Example 1</t>
        </is>
      </c>
      <c r="H11" s="15" t="inlineStr">
        <is>
          <t>Within 1% of correct answer</t>
        </is>
      </c>
      <c r="I11" s="16" t="n"/>
      <c r="J11" s="16" t="n">
        <v>492</v>
      </c>
      <c r="K11" s="16" t="n"/>
      <c r="L11" s="25">
        <f>IF(X11="","",X11)</f>
        <v/>
      </c>
      <c r="M11" s="18">
        <f>IF(O11&lt;&gt;"",O11,Y11)</f>
        <v/>
      </c>
      <c r="N11" s="16" t="n"/>
      <c r="O11" s="19" t="n"/>
      <c r="P11" s="19" t="n"/>
      <c r="Q11" s="19" t="n"/>
      <c r="R11" s="20" t="inlineStr">
        <is>
          <t>IS 1893 (Part 1):2016 Cl. 7.7.1</t>
        </is>
      </c>
      <c r="S11" s="20" t="inlineStr">
        <is>
          <t>IS 1893:2016</t>
        </is>
      </c>
      <c r="T11" s="20" t="inlineStr">
        <is>
          <t>±%</t>
        </is>
      </c>
      <c r="U11" s="20" t="n"/>
      <c r="V11" s="20" t="n">
        <v>1</v>
      </c>
      <c r="W11" s="20">
        <f>IF(AND(ISNUMBER(I11),ISNUMBER(J11)),I11-J11,"")</f>
        <v/>
      </c>
      <c r="X11" s="20">
        <f>IF(AND(ISNUMBER(I11),ISNUMBER(J11)),IF(J11=0,"",(I11-J11)/ABS(J11)),"")</f>
        <v/>
      </c>
      <c r="Y11" s="20">
        <f>IF(T11="Advisory","No pass mark",IF(T11="Manual","Claude will check",IF(I11="","Not done yet",IF(T11="Exact",IF(AND(ISNUMBER(I11),ISNUMBER(J11)),IF(ROUND(I11,2)=ROUND(J11,2),"Pass","Fail"),IF(TRIM(LOWER(I11&amp;""))=TRIM(LOWER(J11&amp;"")),"Pass","Fail")),IF(T11="Min",IF(I11&gt;=U11-1E-9,"Pass","Fail"),IF(T11="Between",IF(AND(I11&gt;=U11,I11&lt;=V11),"Pass","Fail"),IF(J11="","Not done yet",IF(T11="±%",IF(X11="","Check correct answer",IF(ABS(X11)*100&lt;=V11+1E-9,"Pass","Fail")),IF(T11="% range",IF(X11="","Check correct answer",IF(AND(X11*100&gt;=U11-1E-9,X11*100&lt;=V11+1E-9),"Pass","Fail")),IF(T11="±abs",IF(ABS(W11)&lt;=V11+1E-9,"Pass","Fail"),"Check type"))))))))))</f>
        <v/>
      </c>
    </row>
    <row r="12">
      <c r="A12" s="15" t="inlineStr">
        <is>
          <t>S3-006</t>
        </is>
      </c>
      <c r="B12" s="15" t="inlineStr">
        <is>
          <t>A</t>
        </is>
      </c>
      <c r="C12" s="15" t="inlineStr">
        <is>
          <t>Seismic</t>
        </is>
      </c>
      <c r="D12" s="15" t="inlineStr">
        <is>
          <t>IITGN EQ3 Example 1: storey force, floor 2
→ Confirm floor labels against the example</t>
        </is>
      </c>
      <c r="E12" s="15" t="inlineStr">
        <is>
          <t>kN</t>
        </is>
      </c>
      <c r="F12" s="15" t="inlineStr">
        <is>
          <t>Book</t>
        </is>
      </c>
      <c r="G12" s="15" t="inlineStr">
        <is>
          <t>IITGN-WB EQ3 Example 1</t>
        </is>
      </c>
      <c r="H12" s="15" t="inlineStr">
        <is>
          <t>Within 1% of correct answer</t>
        </is>
      </c>
      <c r="I12" s="16" t="n"/>
      <c r="J12" s="16" t="n">
        <v>240</v>
      </c>
      <c r="K12" s="16" t="n"/>
      <c r="L12" s="25">
        <f>IF(X12="","",X12)</f>
        <v/>
      </c>
      <c r="M12" s="18">
        <f>IF(O12&lt;&gt;"",O12,Y12)</f>
        <v/>
      </c>
      <c r="N12" s="16" t="n"/>
      <c r="O12" s="19" t="n"/>
      <c r="P12" s="19" t="n"/>
      <c r="Q12" s="19" t="n"/>
      <c r="R12" s="20" t="inlineStr">
        <is>
          <t>IS 1893 (Part 1):2016 Cl. 7.7.1</t>
        </is>
      </c>
      <c r="S12" s="20" t="inlineStr">
        <is>
          <t>IS 1893:2016</t>
        </is>
      </c>
      <c r="T12" s="20" t="inlineStr">
        <is>
          <t>±%</t>
        </is>
      </c>
      <c r="U12" s="20" t="n"/>
      <c r="V12" s="20" t="n">
        <v>1</v>
      </c>
      <c r="W12" s="20">
        <f>IF(AND(ISNUMBER(I12),ISNUMBER(J12)),I12-J12,"")</f>
        <v/>
      </c>
      <c r="X12" s="20">
        <f>IF(AND(ISNUMBER(I12),ISNUMBER(J12)),IF(J12=0,"",(I12-J12)/ABS(J12)),"")</f>
        <v/>
      </c>
      <c r="Y12" s="20">
        <f>IF(T12="Advisory","No pass mark",IF(T12="Manual","Claude will check",IF(I12="","Not done yet",IF(T12="Exact",IF(AND(ISNUMBER(I12),ISNUMBER(J12)),IF(ROUND(I12,2)=ROUND(J12,2),"Pass","Fail"),IF(TRIM(LOWER(I12&amp;""))=TRIM(LOWER(J12&amp;"")),"Pass","Fail")),IF(T12="Min",IF(I12&gt;=U12-1E-9,"Pass","Fail"),IF(T12="Between",IF(AND(I12&gt;=U12,I12&lt;=V12),"Pass","Fail"),IF(J12="","Not done yet",IF(T12="±%",IF(X12="","Check correct answer",IF(ABS(X12)*100&lt;=V12+1E-9,"Pass","Fail")),IF(T12="% range",IF(X12="","Check correct answer",IF(AND(X12*100&gt;=U12-1E-9,X12*100&lt;=V12+1E-9),"Pass","Fail")),IF(T12="±abs",IF(ABS(W12)&lt;=V12+1E-9,"Pass","Fail"),"Check type"))))))))))</f>
        <v/>
      </c>
    </row>
    <row r="13">
      <c r="A13" s="15" t="inlineStr">
        <is>
          <t>S3-007</t>
        </is>
      </c>
      <c r="B13" s="15" t="inlineStr">
        <is>
          <t>A</t>
        </is>
      </c>
      <c r="C13" s="15" t="inlineStr">
        <is>
          <t>Seismic</t>
        </is>
      </c>
      <c r="D13" s="15" t="inlineStr">
        <is>
          <t>IITGN EQ3 Example 1: storey force, floor 1
→ Confirm floor labels against the example</t>
        </is>
      </c>
      <c r="E13" s="15" t="inlineStr">
        <is>
          <t>kN</t>
        </is>
      </c>
      <c r="F13" s="15" t="inlineStr">
        <is>
          <t>Book</t>
        </is>
      </c>
      <c r="G13" s="15" t="inlineStr">
        <is>
          <t>IITGN-WB EQ3 Example 1</t>
        </is>
      </c>
      <c r="H13" s="15" t="inlineStr">
        <is>
          <t>Within 1% of correct answer</t>
        </is>
      </c>
      <c r="I13" s="16" t="n"/>
      <c r="J13" s="16" t="n">
        <v>77</v>
      </c>
      <c r="K13" s="16" t="n"/>
      <c r="L13" s="25">
        <f>IF(X13="","",X13)</f>
        <v/>
      </c>
      <c r="M13" s="18">
        <f>IF(O13&lt;&gt;"",O13,Y13)</f>
        <v/>
      </c>
      <c r="N13" s="16" t="n"/>
      <c r="O13" s="19" t="n"/>
      <c r="P13" s="19" t="n"/>
      <c r="Q13" s="19" t="n"/>
      <c r="R13" s="20" t="inlineStr">
        <is>
          <t>IS 1893 (Part 1):2016 Cl. 7.7.1</t>
        </is>
      </c>
      <c r="S13" s="20" t="inlineStr">
        <is>
          <t>IS 1893:2016</t>
        </is>
      </c>
      <c r="T13" s="20" t="inlineStr">
        <is>
          <t>±%</t>
        </is>
      </c>
      <c r="U13" s="20" t="n"/>
      <c r="V13" s="20" t="n">
        <v>1</v>
      </c>
      <c r="W13" s="20">
        <f>IF(AND(ISNUMBER(I13),ISNUMBER(J13)),I13-J13,"")</f>
        <v/>
      </c>
      <c r="X13" s="20">
        <f>IF(AND(ISNUMBER(I13),ISNUMBER(J13)),IF(J13=0,"",(I13-J13)/ABS(J13)),"")</f>
        <v/>
      </c>
      <c r="Y13" s="20">
        <f>IF(T13="Advisory","No pass mark",IF(T13="Manual","Claude will check",IF(I13="","Not done yet",IF(T13="Exact",IF(AND(ISNUMBER(I13),ISNUMBER(J13)),IF(ROUND(I13,2)=ROUND(J13,2),"Pass","Fail"),IF(TRIM(LOWER(I13&amp;""))=TRIM(LOWER(J13&amp;"")),"Pass","Fail")),IF(T13="Min",IF(I13&gt;=U13-1E-9,"Pass","Fail"),IF(T13="Between",IF(AND(I13&gt;=U13,I13&lt;=V13),"Pass","Fail"),IF(J13="","Not done yet",IF(T13="±%",IF(X13="","Check correct answer",IF(ABS(X13)*100&lt;=V13+1E-9,"Pass","Fail")),IF(T13="% range",IF(X13="","Check correct answer",IF(AND(X13*100&gt;=U13-1E-9,X13*100&lt;=V13+1E-9),"Pass","Fail")),IF(T13="±abs",IF(ABS(W13)&lt;=V13+1E-9,"Pass","Fail"),"Check type"))))))))))</f>
        <v/>
      </c>
    </row>
    <row r="14">
      <c r="A14" s="15" t="inlineStr">
        <is>
          <t>S3-008</t>
        </is>
      </c>
      <c r="B14" s="15" t="inlineStr">
        <is>
          <t>A</t>
        </is>
      </c>
      <c r="C14" s="15" t="inlineStr">
        <is>
          <t>Seismic</t>
        </is>
      </c>
      <c r="D14" s="15" t="inlineStr">
        <is>
          <t>IITK-GSDMA EQ26: base shear Vb (mapped to 2016)
→ Example gives 1,320 kN under the 2002 code; enter the 2016-mapped value</t>
        </is>
      </c>
      <c r="E14" s="15" t="inlineStr">
        <is>
          <t>kN</t>
        </is>
      </c>
      <c r="F14" s="15" t="inlineStr">
        <is>
          <t>Book</t>
        </is>
      </c>
      <c r="G14" s="15" t="inlineStr">
        <is>
          <t>IITK-GSDMA EQ26</t>
        </is>
      </c>
      <c r="H14" s="15" t="inlineStr">
        <is>
          <t>Within 1% of correct answer</t>
        </is>
      </c>
      <c r="I14" s="16" t="n"/>
      <c r="J14" s="16" t="n"/>
      <c r="K14" s="16" t="n"/>
      <c r="L14" s="25">
        <f>IF(X14="","",X14)</f>
        <v/>
      </c>
      <c r="M14" s="18">
        <f>IF(O14&lt;&gt;"",O14,Y14)</f>
        <v/>
      </c>
      <c r="N14" s="16" t="n"/>
      <c r="O14" s="19" t="n"/>
      <c r="P14" s="19" t="n"/>
      <c r="Q14" s="19" t="n"/>
      <c r="R14" s="20" t="inlineStr">
        <is>
          <t>IS 1893 (Part 1):2016 Cl. 7.2.1</t>
        </is>
      </c>
      <c r="S14" s="20" t="inlineStr">
        <is>
          <t>IS 1893:2016</t>
        </is>
      </c>
      <c r="T14" s="20" t="inlineStr">
        <is>
          <t>±%</t>
        </is>
      </c>
      <c r="U14" s="20" t="n"/>
      <c r="V14" s="20" t="n">
        <v>1</v>
      </c>
      <c r="W14" s="20">
        <f>IF(AND(ISNUMBER(I14),ISNUMBER(J14)),I14-J14,"")</f>
        <v/>
      </c>
      <c r="X14" s="20">
        <f>IF(AND(ISNUMBER(I14),ISNUMBER(J14)),IF(J14=0,"",(I14-J14)/ABS(J14)),"")</f>
        <v/>
      </c>
      <c r="Y14" s="20">
        <f>IF(T14="Advisory","No pass mark",IF(T14="Manual","Claude will check",IF(I14="","Not done yet",IF(T14="Exact",IF(AND(ISNUMBER(I14),ISNUMBER(J14)),IF(ROUND(I14,2)=ROUND(J14,2),"Pass","Fail"),IF(TRIM(LOWER(I14&amp;""))=TRIM(LOWER(J14&amp;"")),"Pass","Fail")),IF(T14="Min",IF(I14&gt;=U14-1E-9,"Pass","Fail"),IF(T14="Between",IF(AND(I14&gt;=U14,I14&lt;=V14),"Pass","Fail"),IF(J14="","Not done yet",IF(T14="±%",IF(X14="","Check correct answer",IF(ABS(X14)*100&lt;=V14+1E-9,"Pass","Fail")),IF(T14="% range",IF(X14="","Check correct answer",IF(AND(X14*100&gt;=U14-1E-9,X14*100&lt;=V14+1E-9),"Pass","Fail")),IF(T14="±abs",IF(ABS(W14)&lt;=V14+1E-9,"Pass","Fail"),"Check type"))))))))))</f>
        <v/>
      </c>
    </row>
    <row r="15">
      <c r="A15" s="15" t="inlineStr">
        <is>
          <t>S3-009</t>
        </is>
      </c>
      <c r="B15" s="15" t="inlineStr">
        <is>
          <t>A</t>
        </is>
      </c>
      <c r="C15" s="15" t="inlineStr">
        <is>
          <t>Seismic</t>
        </is>
      </c>
      <c r="D15" s="15" t="inlineStr">
        <is>
          <t>Bengaluru tower 1: seismic weight W</t>
        </is>
      </c>
      <c r="E15" s="15" t="inlineStr">
        <is>
          <t>kN</t>
        </is>
      </c>
      <c r="F15" s="15" t="inlineStr">
        <is>
          <t>Real</t>
        </is>
      </c>
      <c r="G15" s="15" t="inlineStr">
        <is>
          <t>Hand calculation</t>
        </is>
      </c>
      <c r="H15" s="15" t="inlineStr">
        <is>
          <t>Within 1% of correct answer</t>
        </is>
      </c>
      <c r="I15" s="16" t="n"/>
      <c r="J15" s="16" t="n"/>
      <c r="K15" s="16" t="n"/>
      <c r="L15" s="25">
        <f>IF(X15="","",X15)</f>
        <v/>
      </c>
      <c r="M15" s="18">
        <f>IF(O15&lt;&gt;"",O15,Y15)</f>
        <v/>
      </c>
      <c r="N15" s="16" t="n"/>
      <c r="O15" s="19" t="n"/>
      <c r="P15" s="19" t="n"/>
      <c r="Q15" s="19" t="n"/>
      <c r="R15" s="20" t="inlineStr">
        <is>
          <t>IS 1893 (Part 1):2016 Cl. 7.4</t>
        </is>
      </c>
      <c r="S15" s="20" t="inlineStr">
        <is>
          <t>IS 1893:2016</t>
        </is>
      </c>
      <c r="T15" s="20" t="inlineStr">
        <is>
          <t>±%</t>
        </is>
      </c>
      <c r="U15" s="20" t="n"/>
      <c r="V15" s="20" t="n">
        <v>1</v>
      </c>
      <c r="W15" s="20">
        <f>IF(AND(ISNUMBER(I15),ISNUMBER(J15)),I15-J15,"")</f>
        <v/>
      </c>
      <c r="X15" s="20">
        <f>IF(AND(ISNUMBER(I15),ISNUMBER(J15)),IF(J15=0,"",(I15-J15)/ABS(J15)),"")</f>
        <v/>
      </c>
      <c r="Y15" s="20">
        <f>IF(T15="Advisory","No pass mark",IF(T15="Manual","Claude will check",IF(I15="","Not done yet",IF(T15="Exact",IF(AND(ISNUMBER(I15),ISNUMBER(J15)),IF(ROUND(I15,2)=ROUND(J15,2),"Pass","Fail"),IF(TRIM(LOWER(I15&amp;""))=TRIM(LOWER(J15&amp;"")),"Pass","Fail")),IF(T15="Min",IF(I15&gt;=U15-1E-9,"Pass","Fail"),IF(T15="Between",IF(AND(I15&gt;=U15,I15&lt;=V15),"Pass","Fail"),IF(J15="","Not done yet",IF(T15="±%",IF(X15="","Check correct answer",IF(ABS(X15)*100&lt;=V15+1E-9,"Pass","Fail")),IF(T15="% range",IF(X15="","Check correct answer",IF(AND(X15*100&gt;=U15-1E-9,X15*100&lt;=V15+1E-9),"Pass","Fail")),IF(T15="±abs",IF(ABS(W15)&lt;=V15+1E-9,"Pass","Fail"),"Check type"))))))))))</f>
        <v/>
      </c>
    </row>
    <row r="16">
      <c r="A16" s="15" t="inlineStr">
        <is>
          <t>S3-010</t>
        </is>
      </c>
      <c r="B16" s="15" t="inlineStr">
        <is>
          <t>A</t>
        </is>
      </c>
      <c r="C16" s="15" t="inlineStr">
        <is>
          <t>Seismic</t>
        </is>
      </c>
      <c r="D16" s="15" t="inlineStr">
        <is>
          <t>Bengaluru tower 1: base shear Vb</t>
        </is>
      </c>
      <c r="E16" s="15" t="inlineStr">
        <is>
          <t>kN</t>
        </is>
      </c>
      <c r="F16" s="15" t="inlineStr">
        <is>
          <t>Real</t>
        </is>
      </c>
      <c r="G16" s="15" t="inlineStr">
        <is>
          <t>Hand calculation</t>
        </is>
      </c>
      <c r="H16" s="15" t="inlineStr">
        <is>
          <t>Within 1% of correct answer</t>
        </is>
      </c>
      <c r="I16" s="16" t="n"/>
      <c r="J16" s="16" t="n"/>
      <c r="K16" s="16" t="n"/>
      <c r="L16" s="25">
        <f>IF(X16="","",X16)</f>
        <v/>
      </c>
      <c r="M16" s="18">
        <f>IF(O16&lt;&gt;"",O16,Y16)</f>
        <v/>
      </c>
      <c r="N16" s="16" t="n"/>
      <c r="O16" s="19" t="n"/>
      <c r="P16" s="19" t="n"/>
      <c r="Q16" s="19" t="n"/>
      <c r="R16" s="20" t="inlineStr">
        <is>
          <t>IS 1893 (Part 1):2016 Cl. 7.2.1</t>
        </is>
      </c>
      <c r="S16" s="20" t="inlineStr">
        <is>
          <t>IS 1893:2016</t>
        </is>
      </c>
      <c r="T16" s="20" t="inlineStr">
        <is>
          <t>±%</t>
        </is>
      </c>
      <c r="U16" s="20" t="n"/>
      <c r="V16" s="20" t="n">
        <v>1</v>
      </c>
      <c r="W16" s="20">
        <f>IF(AND(ISNUMBER(I16),ISNUMBER(J16)),I16-J16,"")</f>
        <v/>
      </c>
      <c r="X16" s="20">
        <f>IF(AND(ISNUMBER(I16),ISNUMBER(J16)),IF(J16=0,"",(I16-J16)/ABS(J16)),"")</f>
        <v/>
      </c>
      <c r="Y16" s="20">
        <f>IF(T16="Advisory","No pass mark",IF(T16="Manual","Claude will check",IF(I16="","Not done yet",IF(T16="Exact",IF(AND(ISNUMBER(I16),ISNUMBER(J16)),IF(ROUND(I16,2)=ROUND(J16,2),"Pass","Fail"),IF(TRIM(LOWER(I16&amp;""))=TRIM(LOWER(J16&amp;"")),"Pass","Fail")),IF(T16="Min",IF(I16&gt;=U16-1E-9,"Pass","Fail"),IF(T16="Between",IF(AND(I16&gt;=U16,I16&lt;=V16),"Pass","Fail"),IF(J16="","Not done yet",IF(T16="±%",IF(X16="","Check correct answer",IF(ABS(X16)*100&lt;=V16+1E-9,"Pass","Fail")),IF(T16="% range",IF(X16="","Check correct answer",IF(AND(X16*100&gt;=U16-1E-9,X16*100&lt;=V16+1E-9),"Pass","Fail")),IF(T16="±abs",IF(ABS(W16)&lt;=V16+1E-9,"Pass","Fail"),"Check type"))))))))))</f>
        <v/>
      </c>
    </row>
    <row r="17">
      <c r="A17" s="15" t="inlineStr">
        <is>
          <t>S3-011</t>
        </is>
      </c>
      <c r="B17" s="15" t="inlineStr">
        <is>
          <t>A</t>
        </is>
      </c>
      <c r="C17" s="15" t="inlineStr">
        <is>
          <t>Seismic</t>
        </is>
      </c>
      <c r="D17" s="15" t="inlineStr">
        <is>
          <t>Bengaluru tower 2: seismic weight W</t>
        </is>
      </c>
      <c r="E17" s="15" t="inlineStr">
        <is>
          <t>kN</t>
        </is>
      </c>
      <c r="F17" s="15" t="inlineStr">
        <is>
          <t>Real</t>
        </is>
      </c>
      <c r="G17" s="15" t="inlineStr">
        <is>
          <t>Hand calculation</t>
        </is>
      </c>
      <c r="H17" s="15" t="inlineStr">
        <is>
          <t>Within 1% of correct answer</t>
        </is>
      </c>
      <c r="I17" s="16" t="n"/>
      <c r="J17" s="16" t="n"/>
      <c r="K17" s="16" t="n"/>
      <c r="L17" s="25">
        <f>IF(X17="","",X17)</f>
        <v/>
      </c>
      <c r="M17" s="18">
        <f>IF(O17&lt;&gt;"",O17,Y17)</f>
        <v/>
      </c>
      <c r="N17" s="16" t="n"/>
      <c r="O17" s="19" t="n"/>
      <c r="P17" s="19" t="n"/>
      <c r="Q17" s="19" t="n"/>
      <c r="R17" s="20" t="inlineStr">
        <is>
          <t>IS 1893 (Part 1):2016 Cl. 7.4</t>
        </is>
      </c>
      <c r="S17" s="20" t="inlineStr">
        <is>
          <t>IS 1893:2016</t>
        </is>
      </c>
      <c r="T17" s="20" t="inlineStr">
        <is>
          <t>±%</t>
        </is>
      </c>
      <c r="U17" s="20" t="n"/>
      <c r="V17" s="20" t="n">
        <v>1</v>
      </c>
      <c r="W17" s="20">
        <f>IF(AND(ISNUMBER(I17),ISNUMBER(J17)),I17-J17,"")</f>
        <v/>
      </c>
      <c r="X17" s="20">
        <f>IF(AND(ISNUMBER(I17),ISNUMBER(J17)),IF(J17=0,"",(I17-J17)/ABS(J17)),"")</f>
        <v/>
      </c>
      <c r="Y17" s="20">
        <f>IF(T17="Advisory","No pass mark",IF(T17="Manual","Claude will check",IF(I17="","Not done yet",IF(T17="Exact",IF(AND(ISNUMBER(I17),ISNUMBER(J17)),IF(ROUND(I17,2)=ROUND(J17,2),"Pass","Fail"),IF(TRIM(LOWER(I17&amp;""))=TRIM(LOWER(J17&amp;"")),"Pass","Fail")),IF(T17="Min",IF(I17&gt;=U17-1E-9,"Pass","Fail"),IF(T17="Between",IF(AND(I17&gt;=U17,I17&lt;=V17),"Pass","Fail"),IF(J17="","Not done yet",IF(T17="±%",IF(X17="","Check correct answer",IF(ABS(X17)*100&lt;=V17+1E-9,"Pass","Fail")),IF(T17="% range",IF(X17="","Check correct answer",IF(AND(X17*100&gt;=U17-1E-9,X17*100&lt;=V17+1E-9),"Pass","Fail")),IF(T17="±abs",IF(ABS(W17)&lt;=V17+1E-9,"Pass","Fail"),"Check type"))))))))))</f>
        <v/>
      </c>
    </row>
    <row r="18">
      <c r="A18" s="15" t="inlineStr">
        <is>
          <t>S3-012</t>
        </is>
      </c>
      <c r="B18" s="15" t="inlineStr">
        <is>
          <t>A</t>
        </is>
      </c>
      <c r="C18" s="15" t="inlineStr">
        <is>
          <t>Seismic</t>
        </is>
      </c>
      <c r="D18" s="15" t="inlineStr">
        <is>
          <t>Bengaluru tower 2: base shear Vb</t>
        </is>
      </c>
      <c r="E18" s="15" t="inlineStr">
        <is>
          <t>kN</t>
        </is>
      </c>
      <c r="F18" s="15" t="inlineStr">
        <is>
          <t>Real</t>
        </is>
      </c>
      <c r="G18" s="15" t="inlineStr">
        <is>
          <t>Hand calculation</t>
        </is>
      </c>
      <c r="H18" s="15" t="inlineStr">
        <is>
          <t>Within 1% of correct answer</t>
        </is>
      </c>
      <c r="I18" s="16" t="n"/>
      <c r="J18" s="16" t="n"/>
      <c r="K18" s="16" t="n"/>
      <c r="L18" s="25">
        <f>IF(X18="","",X18)</f>
        <v/>
      </c>
      <c r="M18" s="18">
        <f>IF(O18&lt;&gt;"",O18,Y18)</f>
        <v/>
      </c>
      <c r="N18" s="16" t="n"/>
      <c r="O18" s="19" t="n"/>
      <c r="P18" s="19" t="n"/>
      <c r="Q18" s="19" t="n"/>
      <c r="R18" s="20" t="inlineStr">
        <is>
          <t>IS 1893 (Part 1):2016 Cl. 7.2.1</t>
        </is>
      </c>
      <c r="S18" s="20" t="inlineStr">
        <is>
          <t>IS 1893:2016</t>
        </is>
      </c>
      <c r="T18" s="20" t="inlineStr">
        <is>
          <t>±%</t>
        </is>
      </c>
      <c r="U18" s="20" t="n"/>
      <c r="V18" s="20" t="n">
        <v>1</v>
      </c>
      <c r="W18" s="20">
        <f>IF(AND(ISNUMBER(I18),ISNUMBER(J18)),I18-J18,"")</f>
        <v/>
      </c>
      <c r="X18" s="20">
        <f>IF(AND(ISNUMBER(I18),ISNUMBER(J18)),IF(J18=0,"",(I18-J18)/ABS(J18)),"")</f>
        <v/>
      </c>
      <c r="Y18" s="20">
        <f>IF(T18="Advisory","No pass mark",IF(T18="Manual","Claude will check",IF(I18="","Not done yet",IF(T18="Exact",IF(AND(ISNUMBER(I18),ISNUMBER(J18)),IF(ROUND(I18,2)=ROUND(J18,2),"Pass","Fail"),IF(TRIM(LOWER(I18&amp;""))=TRIM(LOWER(J18&amp;"")),"Pass","Fail")),IF(T18="Min",IF(I18&gt;=U18-1E-9,"Pass","Fail"),IF(T18="Between",IF(AND(I18&gt;=U18,I18&lt;=V18),"Pass","Fail"),IF(J18="","Not done yet",IF(T18="±%",IF(X18="","Check correct answer",IF(ABS(X18)*100&lt;=V18+1E-9,"Pass","Fail")),IF(T18="% range",IF(X18="","Check correct answer",IF(AND(X18*100&gt;=U18-1E-9,X18*100&lt;=V18+1E-9),"Pass","Fail")),IF(T18="±abs",IF(ABS(W18)&lt;=V18+1E-9,"Pass","Fail"),"Check type"))))))))))</f>
        <v/>
      </c>
    </row>
    <row r="19">
      <c r="A19" s="15" t="inlineStr">
        <is>
          <t>S3-013</t>
        </is>
      </c>
      <c r="B19" s="15" t="inlineStr">
        <is>
          <t>A</t>
        </is>
      </c>
      <c r="C19" s="15" t="inlineStr">
        <is>
          <t>Seismic</t>
        </is>
      </c>
      <c r="D19" s="15" t="inlineStr">
        <is>
          <t>Bengaluru tower 1: base shear Vb in PyNite (OPTIONAL)</t>
        </is>
      </c>
      <c r="E19" s="15" t="inlineStr">
        <is>
          <t>kN</t>
        </is>
      </c>
      <c r="F19" s="15" t="inlineStr">
        <is>
          <t>Real</t>
        </is>
      </c>
      <c r="G19" s="15" t="inlineStr">
        <is>
          <t>PyNite frame model</t>
        </is>
      </c>
      <c r="H19" s="15" t="inlineStr">
        <is>
          <t>Within 5% of correct answer</t>
        </is>
      </c>
      <c r="I19" s="16" t="n"/>
      <c r="J19" s="16" t="n"/>
      <c r="K19" s="16" t="n"/>
      <c r="L19" s="25">
        <f>IF(X19="","",X19)</f>
        <v/>
      </c>
      <c r="M19" s="18">
        <f>IF(O19&lt;&gt;"",O19,Y19)</f>
        <v/>
      </c>
      <c r="N19" s="16" t="n"/>
      <c r="O19" s="19" t="n"/>
      <c r="P19" s="19" t="n"/>
      <c r="Q19" s="19" t="n"/>
      <c r="R19" s="20" t="inlineStr">
        <is>
          <t>IS 1893 (Part 1):2016 Cl. 7.2.1</t>
        </is>
      </c>
      <c r="S19" s="20" t="inlineStr">
        <is>
          <t>IS 1893:2016</t>
        </is>
      </c>
      <c r="T19" s="20" t="inlineStr">
        <is>
          <t>±%</t>
        </is>
      </c>
      <c r="U19" s="20" t="n"/>
      <c r="V19" s="20" t="n">
        <v>5</v>
      </c>
      <c r="W19" s="20">
        <f>IF(AND(ISNUMBER(I19),ISNUMBER(J19)),I19-J19,"")</f>
        <v/>
      </c>
      <c r="X19" s="20">
        <f>IF(AND(ISNUMBER(I19),ISNUMBER(J19)),IF(J19=0,"",(I19-J19)/ABS(J19)),"")</f>
        <v/>
      </c>
      <c r="Y19" s="20">
        <f>IF(T19="Advisory","No pass mark",IF(T19="Manual","Claude will check",IF(I19="","Not done yet",IF(T19="Exact",IF(AND(ISNUMBER(I19),ISNUMBER(J19)),IF(ROUND(I19,2)=ROUND(J19,2),"Pass","Fail"),IF(TRIM(LOWER(I19&amp;""))=TRIM(LOWER(J19&amp;"")),"Pass","Fail")),IF(T19="Min",IF(I19&gt;=U19-1E-9,"Pass","Fail"),IF(T19="Between",IF(AND(I19&gt;=U19,I19&lt;=V19),"Pass","Fail"),IF(J19="","Not done yet",IF(T19="±%",IF(X19="","Check correct answer",IF(ABS(X19)*100&lt;=V19+1E-9,"Pass","Fail")),IF(T19="% range",IF(X19="","Check correct answer",IF(AND(X19*100&gt;=U19-1E-9,X19*100&lt;=V19+1E-9),"Pass","Fail")),IF(T19="±abs",IF(ABS(W19)&lt;=V19+1E-9,"Pass","Fail"),"Check type"))))))))))</f>
        <v/>
      </c>
    </row>
    <row r="20">
      <c r="A20" s="15" t="inlineStr">
        <is>
          <t>S3-014</t>
        </is>
      </c>
      <c r="B20" s="15" t="inlineStr">
        <is>
          <t>A</t>
        </is>
      </c>
      <c r="C20" s="15" t="inlineStr">
        <is>
          <t>Dead and live loads</t>
        </is>
      </c>
      <c r="D20" s="15" t="inlineStr">
        <is>
          <t>IITGN EQ3 Ex. 1: total dead load</t>
        </is>
      </c>
      <c r="E20" s="15" t="inlineStr">
        <is>
          <t>kN</t>
        </is>
      </c>
      <c r="F20" s="15" t="inlineStr">
        <is>
          <t>Book</t>
        </is>
      </c>
      <c r="G20" s="15" t="inlineStr">
        <is>
          <t>IITGN EQ3 Ex. 1 seismic-weight working</t>
        </is>
      </c>
      <c r="H20" s="15" t="inlineStr">
        <is>
          <t>Within 0.5% of correct answer</t>
        </is>
      </c>
      <c r="I20" s="16" t="n"/>
      <c r="J20" s="16" t="n"/>
      <c r="K20" s="16" t="n"/>
      <c r="L20" s="25">
        <f>IF(X20="","",X20)</f>
        <v/>
      </c>
      <c r="M20" s="18">
        <f>IF(O20&lt;&gt;"",O20,Y20)</f>
        <v/>
      </c>
      <c r="N20" s="16" t="n"/>
      <c r="O20" s="19" t="n"/>
      <c r="P20" s="19" t="n"/>
      <c r="Q20" s="19" t="n"/>
      <c r="R20" s="20" t="inlineStr">
        <is>
          <t>IS 875 (Part 1)</t>
        </is>
      </c>
      <c r="S20" s="20" t="inlineStr">
        <is>
          <t>IS 875-1:1987</t>
        </is>
      </c>
      <c r="T20" s="20" t="inlineStr">
        <is>
          <t>±%</t>
        </is>
      </c>
      <c r="U20" s="20" t="n"/>
      <c r="V20" s="20" t="n">
        <v>0.5</v>
      </c>
      <c r="W20" s="20">
        <f>IF(AND(ISNUMBER(I20),ISNUMBER(J20)),I20-J20,"")</f>
        <v/>
      </c>
      <c r="X20" s="20">
        <f>IF(AND(ISNUMBER(I20),ISNUMBER(J20)),IF(J20=0,"",(I20-J20)/ABS(J20)),"")</f>
        <v/>
      </c>
      <c r="Y20" s="20">
        <f>IF(T20="Advisory","No pass mark",IF(T20="Manual","Claude will check",IF(I20="","Not done yet",IF(T20="Exact",IF(AND(ISNUMBER(I20),ISNUMBER(J20)),IF(ROUND(I20,2)=ROUND(J20,2),"Pass","Fail"),IF(TRIM(LOWER(I20&amp;""))=TRIM(LOWER(J20&amp;"")),"Pass","Fail")),IF(T20="Min",IF(I20&gt;=U20-1E-9,"Pass","Fail"),IF(T20="Between",IF(AND(I20&gt;=U20,I20&lt;=V20),"Pass","Fail"),IF(J20="","Not done yet",IF(T20="±%",IF(X20="","Check correct answer",IF(ABS(X20)*100&lt;=V20+1E-9,"Pass","Fail")),IF(T20="% range",IF(X20="","Check correct answer",IF(AND(X20*100&gt;=U20-1E-9,X20*100&lt;=V20+1E-9),"Pass","Fail")),IF(T20="±abs",IF(ABS(W20)&lt;=V20+1E-9,"Pass","Fail"),"Check type"))))))))))</f>
        <v/>
      </c>
    </row>
    <row r="21">
      <c r="A21" s="15" t="inlineStr">
        <is>
          <t>S3-015</t>
        </is>
      </c>
      <c r="B21" s="15" t="inlineStr">
        <is>
          <t>A</t>
        </is>
      </c>
      <c r="C21" s="15" t="inlineStr">
        <is>
          <t>Dead and live loads</t>
        </is>
      </c>
      <c r="D21" s="15" t="inlineStr">
        <is>
          <t>IITGN EQ3 Ex. 1: total live load</t>
        </is>
      </c>
      <c r="E21" s="15" t="inlineStr">
        <is>
          <t>kN</t>
        </is>
      </c>
      <c r="F21" s="15" t="inlineStr">
        <is>
          <t>Book</t>
        </is>
      </c>
      <c r="G21" s="15" t="inlineStr">
        <is>
          <t>IITGN EQ3 Ex. 1 seismic-weight working</t>
        </is>
      </c>
      <c r="H21" s="15" t="inlineStr">
        <is>
          <t>Within 0.5% of correct answer</t>
        </is>
      </c>
      <c r="I21" s="16" t="n"/>
      <c r="J21" s="16" t="n"/>
      <c r="K21" s="16" t="n"/>
      <c r="L21" s="25">
        <f>IF(X21="","",X21)</f>
        <v/>
      </c>
      <c r="M21" s="18">
        <f>IF(O21&lt;&gt;"",O21,Y21)</f>
        <v/>
      </c>
      <c r="N21" s="16" t="n"/>
      <c r="O21" s="19" t="n"/>
      <c r="P21" s="19" t="n"/>
      <c r="Q21" s="19" t="n"/>
      <c r="R21" s="20" t="inlineStr">
        <is>
          <t>IS 875 (Part 2)</t>
        </is>
      </c>
      <c r="S21" s="20" t="inlineStr">
        <is>
          <t>IS 875-2:1987</t>
        </is>
      </c>
      <c r="T21" s="20" t="inlineStr">
        <is>
          <t>±%</t>
        </is>
      </c>
      <c r="U21" s="20" t="n"/>
      <c r="V21" s="20" t="n">
        <v>0.5</v>
      </c>
      <c r="W21" s="20">
        <f>IF(AND(ISNUMBER(I21),ISNUMBER(J21)),I21-J21,"")</f>
        <v/>
      </c>
      <c r="X21" s="20">
        <f>IF(AND(ISNUMBER(I21),ISNUMBER(J21)),IF(J21=0,"",(I21-J21)/ABS(J21)),"")</f>
        <v/>
      </c>
      <c r="Y21" s="20">
        <f>IF(T21="Advisory","No pass mark",IF(T21="Manual","Claude will check",IF(I21="","Not done yet",IF(T21="Exact",IF(AND(ISNUMBER(I21),ISNUMBER(J21)),IF(ROUND(I21,2)=ROUND(J21,2),"Pass","Fail"),IF(TRIM(LOWER(I21&amp;""))=TRIM(LOWER(J21&amp;"")),"Pass","Fail")),IF(T21="Min",IF(I21&gt;=U21-1E-9,"Pass","Fail"),IF(T21="Between",IF(AND(I21&gt;=U21,I21&lt;=V21),"Pass","Fail"),IF(J21="","Not done yet",IF(T21="±%",IF(X21="","Check correct answer",IF(ABS(X21)*100&lt;=V21+1E-9,"Pass","Fail")),IF(T21="% range",IF(X21="","Check correct answer",IF(AND(X21*100&gt;=U21-1E-9,X21*100&lt;=V21+1E-9),"Pass","Fail")),IF(T21="±abs",IF(ABS(W21)&lt;=V21+1E-9,"Pass","Fail"),"Check type"))))))))))</f>
        <v/>
      </c>
    </row>
    <row r="22">
      <c r="A22" s="15" t="inlineStr">
        <is>
          <t>S3-016</t>
        </is>
      </c>
      <c r="B22" s="15" t="inlineStr">
        <is>
          <t>A</t>
        </is>
      </c>
      <c r="C22" s="15" t="inlineStr">
        <is>
          <t>Dead and live loads</t>
        </is>
      </c>
      <c r="D22" s="15" t="inlineStr">
        <is>
          <t>IITK-GSDMA EQ26: total dead load</t>
        </is>
      </c>
      <c r="E22" s="15" t="inlineStr">
        <is>
          <t>kN</t>
        </is>
      </c>
      <c r="F22" s="15" t="inlineStr">
        <is>
          <t>Book</t>
        </is>
      </c>
      <c r="G22" s="15" t="inlineStr">
        <is>
          <t>IITK-GSDMA EQ26 seismic-weight working</t>
        </is>
      </c>
      <c r="H22" s="15" t="inlineStr">
        <is>
          <t>Within 0.5% of correct answer</t>
        </is>
      </c>
      <c r="I22" s="16" t="n"/>
      <c r="J22" s="16" t="n"/>
      <c r="K22" s="16" t="n"/>
      <c r="L22" s="25">
        <f>IF(X22="","",X22)</f>
        <v/>
      </c>
      <c r="M22" s="18">
        <f>IF(O22&lt;&gt;"",O22,Y22)</f>
        <v/>
      </c>
      <c r="N22" s="16" t="n"/>
      <c r="O22" s="19" t="n"/>
      <c r="P22" s="19" t="n"/>
      <c r="Q22" s="19" t="n"/>
      <c r="R22" s="20" t="inlineStr">
        <is>
          <t>IS 875 (Part 1)</t>
        </is>
      </c>
      <c r="S22" s="20" t="inlineStr">
        <is>
          <t>IS 875-1:1987</t>
        </is>
      </c>
      <c r="T22" s="20" t="inlineStr">
        <is>
          <t>±%</t>
        </is>
      </c>
      <c r="U22" s="20" t="n"/>
      <c r="V22" s="20" t="n">
        <v>0.5</v>
      </c>
      <c r="W22" s="20">
        <f>IF(AND(ISNUMBER(I22),ISNUMBER(J22)),I22-J22,"")</f>
        <v/>
      </c>
      <c r="X22" s="20">
        <f>IF(AND(ISNUMBER(I22),ISNUMBER(J22)),IF(J22=0,"",(I22-J22)/ABS(J22)),"")</f>
        <v/>
      </c>
      <c r="Y22" s="20">
        <f>IF(T22="Advisory","No pass mark",IF(T22="Manual","Claude will check",IF(I22="","Not done yet",IF(T22="Exact",IF(AND(ISNUMBER(I22),ISNUMBER(J22)),IF(ROUND(I22,2)=ROUND(J22,2),"Pass","Fail"),IF(TRIM(LOWER(I22&amp;""))=TRIM(LOWER(J22&amp;"")),"Pass","Fail")),IF(T22="Min",IF(I22&gt;=U22-1E-9,"Pass","Fail"),IF(T22="Between",IF(AND(I22&gt;=U22,I22&lt;=V22),"Pass","Fail"),IF(J22="","Not done yet",IF(T22="±%",IF(X22="","Check correct answer",IF(ABS(X22)*100&lt;=V22+1E-9,"Pass","Fail")),IF(T22="% range",IF(X22="","Check correct answer",IF(AND(X22*100&gt;=U22-1E-9,X22*100&lt;=V22+1E-9),"Pass","Fail")),IF(T22="±abs",IF(ABS(W22)&lt;=V22+1E-9,"Pass","Fail"),"Check type"))))))))))</f>
        <v/>
      </c>
    </row>
    <row r="23">
      <c r="A23" s="15" t="inlineStr">
        <is>
          <t>S3-017</t>
        </is>
      </c>
      <c r="B23" s="15" t="inlineStr">
        <is>
          <t>A</t>
        </is>
      </c>
      <c r="C23" s="15" t="inlineStr">
        <is>
          <t>Dead and live loads</t>
        </is>
      </c>
      <c r="D23" s="15" t="inlineStr">
        <is>
          <t>IITK-GSDMA EQ26: total live load</t>
        </is>
      </c>
      <c r="E23" s="15" t="inlineStr">
        <is>
          <t>kN</t>
        </is>
      </c>
      <c r="F23" s="15" t="inlineStr">
        <is>
          <t>Book</t>
        </is>
      </c>
      <c r="G23" s="15" t="inlineStr">
        <is>
          <t>IITK-GSDMA EQ26 seismic-weight working</t>
        </is>
      </c>
      <c r="H23" s="15" t="inlineStr">
        <is>
          <t>Within 0.5% of correct answer</t>
        </is>
      </c>
      <c r="I23" s="16" t="n"/>
      <c r="J23" s="16" t="n"/>
      <c r="K23" s="16" t="n"/>
      <c r="L23" s="25">
        <f>IF(X23="","",X23)</f>
        <v/>
      </c>
      <c r="M23" s="18">
        <f>IF(O23&lt;&gt;"",O23,Y23)</f>
        <v/>
      </c>
      <c r="N23" s="16" t="n"/>
      <c r="O23" s="19" t="n"/>
      <c r="P23" s="19" t="n"/>
      <c r="Q23" s="19" t="n"/>
      <c r="R23" s="20" t="inlineStr">
        <is>
          <t>IS 875 (Part 2)</t>
        </is>
      </c>
      <c r="S23" s="20" t="inlineStr">
        <is>
          <t>IS 875-2:1987</t>
        </is>
      </c>
      <c r="T23" s="20" t="inlineStr">
        <is>
          <t>±%</t>
        </is>
      </c>
      <c r="U23" s="20" t="n"/>
      <c r="V23" s="20" t="n">
        <v>0.5</v>
      </c>
      <c r="W23" s="20">
        <f>IF(AND(ISNUMBER(I23),ISNUMBER(J23)),I23-J23,"")</f>
        <v/>
      </c>
      <c r="X23" s="20">
        <f>IF(AND(ISNUMBER(I23),ISNUMBER(J23)),IF(J23=0,"",(I23-J23)/ABS(J23)),"")</f>
        <v/>
      </c>
      <c r="Y23" s="20">
        <f>IF(T23="Advisory","No pass mark",IF(T23="Manual","Claude will check",IF(I23="","Not done yet",IF(T23="Exact",IF(AND(ISNUMBER(I23),ISNUMBER(J23)),IF(ROUND(I23,2)=ROUND(J23,2),"Pass","Fail"),IF(TRIM(LOWER(I23&amp;""))=TRIM(LOWER(J23&amp;"")),"Pass","Fail")),IF(T23="Min",IF(I23&gt;=U23-1E-9,"Pass","Fail"),IF(T23="Between",IF(AND(I23&gt;=U23,I23&lt;=V23),"Pass","Fail"),IF(J23="","Not done yet",IF(T23="±%",IF(X23="","Check correct answer",IF(ABS(X23)*100&lt;=V23+1E-9,"Pass","Fail")),IF(T23="% range",IF(X23="","Check correct answer",IF(AND(X23*100&gt;=U23-1E-9,X23*100&lt;=V23+1E-9),"Pass","Fail")),IF(T23="±abs",IF(ABS(W23)&lt;=V23+1E-9,"Pass","Fail"),"Check type"))))))))))</f>
        <v/>
      </c>
    </row>
    <row r="24">
      <c r="A24" s="15" t="inlineStr">
        <is>
          <t>S3-018</t>
        </is>
      </c>
      <c r="B24" s="15" t="inlineStr">
        <is>
          <t>A</t>
        </is>
      </c>
      <c r="C24" s="15" t="inlineStr">
        <is>
          <t>Load combinations</t>
        </is>
      </c>
      <c r="D24" s="15" t="inlineStr">
        <is>
          <t>One column, worst axial load under 1.5(DL + LL)</t>
        </is>
      </c>
      <c r="E24" s="15" t="inlineStr">
        <is>
          <t>kN</t>
        </is>
      </c>
      <c r="F24" s="15" t="inlineStr">
        <is>
          <t>Book</t>
        </is>
      </c>
      <c r="G24" s="15" t="inlineStr">
        <is>
          <t>Hand calculation</t>
        </is>
      </c>
      <c r="H24" s="15" t="inlineStr">
        <is>
          <t>Same as correct answer</t>
        </is>
      </c>
      <c r="I24" s="16" t="n"/>
      <c r="J24" s="16" t="n"/>
      <c r="K24" s="16" t="n"/>
      <c r="L24" s="17">
        <f>IF(W24="","",W24)</f>
        <v/>
      </c>
      <c r="M24" s="18">
        <f>IF(O24&lt;&gt;"",O24,Y24)</f>
        <v/>
      </c>
      <c r="N24" s="16" t="n"/>
      <c r="O24" s="19" t="n"/>
      <c r="P24" s="19" t="n"/>
      <c r="Q24" s="19" t="n"/>
      <c r="R24" s="20" t="inlineStr">
        <is>
          <t>IS 456:2000 Table 18</t>
        </is>
      </c>
      <c r="S24" s="20" t="inlineStr">
        <is>
          <t>IS 456:2000</t>
        </is>
      </c>
      <c r="T24" s="20" t="inlineStr">
        <is>
          <t>Exact</t>
        </is>
      </c>
      <c r="U24" s="20" t="n"/>
      <c r="V24" s="20" t="n"/>
      <c r="W24" s="20">
        <f>IF(AND(ISNUMBER(I24),ISNUMBER(J24)),I24-J24,"")</f>
        <v/>
      </c>
      <c r="X24" s="20">
        <f>IF(AND(ISNUMBER(I24),ISNUMBER(J24)),IF(J24=0,"",(I24-J24)/ABS(J24)),"")</f>
        <v/>
      </c>
      <c r="Y24" s="20">
        <f>IF(T24="Advisory","No pass mark",IF(T24="Manual","Claude will check",IF(I24="","Not done yet",IF(T24="Exact",IF(AND(ISNUMBER(I24),ISNUMBER(J24)),IF(ROUND(I24,2)=ROUND(J24,2),"Pass","Fail"),IF(TRIM(LOWER(I24&amp;""))=TRIM(LOWER(J24&amp;"")),"Pass","Fail")),IF(T24="Min",IF(I24&gt;=U24-1E-9,"Pass","Fail"),IF(T24="Between",IF(AND(I24&gt;=U24,I24&lt;=V24),"Pass","Fail"),IF(J24="","Not done yet",IF(T24="±%",IF(X24="","Check correct answer",IF(ABS(X24)*100&lt;=V24+1E-9,"Pass","Fail")),IF(T24="% range",IF(X24="","Check correct answer",IF(AND(X24*100&gt;=U24-1E-9,X24*100&lt;=V24+1E-9),"Pass","Fail")),IF(T24="±abs",IF(ABS(W24)&lt;=V24+1E-9,"Pass","Fail"),"Check type"))))))))))</f>
        <v/>
      </c>
    </row>
    <row r="25">
      <c r="A25" s="15" t="inlineStr">
        <is>
          <t>S3-019</t>
        </is>
      </c>
      <c r="B25" s="15" t="inlineStr">
        <is>
          <t>A</t>
        </is>
      </c>
      <c r="C25" s="15" t="inlineStr">
        <is>
          <t>Load combinations</t>
        </is>
      </c>
      <c r="D25" s="15" t="inlineStr">
        <is>
          <t>One column, worst axial load under 1.5(DL ± EL)</t>
        </is>
      </c>
      <c r="E25" s="15" t="inlineStr">
        <is>
          <t>kN</t>
        </is>
      </c>
      <c r="F25" s="15" t="inlineStr">
        <is>
          <t>Book</t>
        </is>
      </c>
      <c r="G25" s="15" t="inlineStr">
        <is>
          <t>Hand calculation</t>
        </is>
      </c>
      <c r="H25" s="15" t="inlineStr">
        <is>
          <t>Same as correct answer</t>
        </is>
      </c>
      <c r="I25" s="16" t="n"/>
      <c r="J25" s="16" t="n"/>
      <c r="K25" s="16" t="n"/>
      <c r="L25" s="17">
        <f>IF(W25="","",W25)</f>
        <v/>
      </c>
      <c r="M25" s="18">
        <f>IF(O25&lt;&gt;"",O25,Y25)</f>
        <v/>
      </c>
      <c r="N25" s="16" t="n"/>
      <c r="O25" s="19" t="n"/>
      <c r="P25" s="19" t="n"/>
      <c r="Q25" s="19" t="n"/>
      <c r="R25" s="20" t="inlineStr">
        <is>
          <t>IS 456:2000 Table 18</t>
        </is>
      </c>
      <c r="S25" s="20" t="inlineStr">
        <is>
          <t>IS 456:2000</t>
        </is>
      </c>
      <c r="T25" s="20" t="inlineStr">
        <is>
          <t>Exact</t>
        </is>
      </c>
      <c r="U25" s="20" t="n"/>
      <c r="V25" s="20" t="n"/>
      <c r="W25" s="20">
        <f>IF(AND(ISNUMBER(I25),ISNUMBER(J25)),I25-J25,"")</f>
        <v/>
      </c>
      <c r="X25" s="20">
        <f>IF(AND(ISNUMBER(I25),ISNUMBER(J25)),IF(J25=0,"",(I25-J25)/ABS(J25)),"")</f>
        <v/>
      </c>
      <c r="Y25" s="20">
        <f>IF(T25="Advisory","No pass mark",IF(T25="Manual","Claude will check",IF(I25="","Not done yet",IF(T25="Exact",IF(AND(ISNUMBER(I25),ISNUMBER(J25)),IF(ROUND(I25,2)=ROUND(J25,2),"Pass","Fail"),IF(TRIM(LOWER(I25&amp;""))=TRIM(LOWER(J25&amp;"")),"Pass","Fail")),IF(T25="Min",IF(I25&gt;=U25-1E-9,"Pass","Fail"),IF(T25="Between",IF(AND(I25&gt;=U25,I25&lt;=V25),"Pass","Fail"),IF(J25="","Not done yet",IF(T25="±%",IF(X25="","Check correct answer",IF(ABS(X25)*100&lt;=V25+1E-9,"Pass","Fail")),IF(T25="% range",IF(X25="","Check correct answer",IF(AND(X25*100&gt;=U25-1E-9,X25*100&lt;=V25+1E-9),"Pass","Fail")),IF(T25="±abs",IF(ABS(W25)&lt;=V25+1E-9,"Pass","Fail"),"Check type"))))))))))</f>
        <v/>
      </c>
    </row>
    <row r="26">
      <c r="A26" s="15" t="inlineStr">
        <is>
          <t>S3-020</t>
        </is>
      </c>
      <c r="B26" s="15" t="inlineStr">
        <is>
          <t>A</t>
        </is>
      </c>
      <c r="C26" s="15" t="inlineStr">
        <is>
          <t>Load combinations</t>
        </is>
      </c>
      <c r="D26" s="15" t="inlineStr">
        <is>
          <t>One column, worst axial load under 1.2(DL + LL ± EL)</t>
        </is>
      </c>
      <c r="E26" s="15" t="inlineStr">
        <is>
          <t>kN</t>
        </is>
      </c>
      <c r="F26" s="15" t="inlineStr">
        <is>
          <t>Book</t>
        </is>
      </c>
      <c r="G26" s="15" t="inlineStr">
        <is>
          <t>Hand calculation</t>
        </is>
      </c>
      <c r="H26" s="15" t="inlineStr">
        <is>
          <t>Same as correct answer</t>
        </is>
      </c>
      <c r="I26" s="16" t="n"/>
      <c r="J26" s="16" t="n"/>
      <c r="K26" s="16" t="n"/>
      <c r="L26" s="17">
        <f>IF(W26="","",W26)</f>
        <v/>
      </c>
      <c r="M26" s="18">
        <f>IF(O26&lt;&gt;"",O26,Y26)</f>
        <v/>
      </c>
      <c r="N26" s="16" t="n"/>
      <c r="O26" s="19" t="n"/>
      <c r="P26" s="19" t="n"/>
      <c r="Q26" s="19" t="n"/>
      <c r="R26" s="20" t="inlineStr">
        <is>
          <t>IS 456:2000 Table 18</t>
        </is>
      </c>
      <c r="S26" s="20" t="inlineStr">
        <is>
          <t>IS 456:2000</t>
        </is>
      </c>
      <c r="T26" s="20" t="inlineStr">
        <is>
          <t>Exact</t>
        </is>
      </c>
      <c r="U26" s="20" t="n"/>
      <c r="V26" s="20" t="n"/>
      <c r="W26" s="20">
        <f>IF(AND(ISNUMBER(I26),ISNUMBER(J26)),I26-J26,"")</f>
        <v/>
      </c>
      <c r="X26" s="20">
        <f>IF(AND(ISNUMBER(I26),ISNUMBER(J26)),IF(J26=0,"",(I26-J26)/ABS(J26)),"")</f>
        <v/>
      </c>
      <c r="Y26" s="20">
        <f>IF(T26="Advisory","No pass mark",IF(T26="Manual","Claude will check",IF(I26="","Not done yet",IF(T26="Exact",IF(AND(ISNUMBER(I26),ISNUMBER(J26)),IF(ROUND(I26,2)=ROUND(J26,2),"Pass","Fail"),IF(TRIM(LOWER(I26&amp;""))=TRIM(LOWER(J26&amp;"")),"Pass","Fail")),IF(T26="Min",IF(I26&gt;=U26-1E-9,"Pass","Fail"),IF(T26="Between",IF(AND(I26&gt;=U26,I26&lt;=V26),"Pass","Fail"),IF(J26="","Not done yet",IF(T26="±%",IF(X26="","Check correct answer",IF(ABS(X26)*100&lt;=V26+1E-9,"Pass","Fail")),IF(T26="% range",IF(X26="","Check correct answer",IF(AND(X26*100&gt;=U26-1E-9,X26*100&lt;=V26+1E-9),"Pass","Fail")),IF(T26="±abs",IF(ABS(W26)&lt;=V26+1E-9,"Pass","Fail"),"Check type"))))))))))</f>
        <v/>
      </c>
    </row>
    <row r="27">
      <c r="A27" s="15" t="inlineStr">
        <is>
          <t>S3-021</t>
        </is>
      </c>
      <c r="B27" s="15" t="inlineStr">
        <is>
          <t>A</t>
        </is>
      </c>
      <c r="C27" s="15" t="inlineStr">
        <is>
          <t>Load combinations</t>
        </is>
      </c>
      <c r="D27" s="15" t="inlineStr">
        <is>
          <t>One column, worst axial load under 0.9DL ± 1.5EL</t>
        </is>
      </c>
      <c r="E27" s="15" t="inlineStr">
        <is>
          <t>kN</t>
        </is>
      </c>
      <c r="F27" s="15" t="inlineStr">
        <is>
          <t>Book</t>
        </is>
      </c>
      <c r="G27" s="15" t="inlineStr">
        <is>
          <t>Hand calculation</t>
        </is>
      </c>
      <c r="H27" s="15" t="inlineStr">
        <is>
          <t>Same as correct answer</t>
        </is>
      </c>
      <c r="I27" s="16" t="n"/>
      <c r="J27" s="16" t="n"/>
      <c r="K27" s="16" t="n"/>
      <c r="L27" s="17">
        <f>IF(W27="","",W27)</f>
        <v/>
      </c>
      <c r="M27" s="18">
        <f>IF(O27&lt;&gt;"",O27,Y27)</f>
        <v/>
      </c>
      <c r="N27" s="16" t="n"/>
      <c r="O27" s="19" t="n"/>
      <c r="P27" s="19" t="n"/>
      <c r="Q27" s="19" t="n"/>
      <c r="R27" s="20" t="inlineStr">
        <is>
          <t>IS 456:2000 Table 18</t>
        </is>
      </c>
      <c r="S27" s="20" t="inlineStr">
        <is>
          <t>IS 456:2000</t>
        </is>
      </c>
      <c r="T27" s="20" t="inlineStr">
        <is>
          <t>Exact</t>
        </is>
      </c>
      <c r="U27" s="20" t="n"/>
      <c r="V27" s="20" t="n"/>
      <c r="W27" s="20">
        <f>IF(AND(ISNUMBER(I27),ISNUMBER(J27)),I27-J27,"")</f>
        <v/>
      </c>
      <c r="X27" s="20">
        <f>IF(AND(ISNUMBER(I27),ISNUMBER(J27)),IF(J27=0,"",(I27-J27)/ABS(J27)),"")</f>
        <v/>
      </c>
      <c r="Y27" s="20">
        <f>IF(T27="Advisory","No pass mark",IF(T27="Manual","Claude will check",IF(I27="","Not done yet",IF(T27="Exact",IF(AND(ISNUMBER(I27),ISNUMBER(J27)),IF(ROUND(I27,2)=ROUND(J27,2),"Pass","Fail"),IF(TRIM(LOWER(I27&amp;""))=TRIM(LOWER(J27&amp;"")),"Pass","Fail")),IF(T27="Min",IF(I27&gt;=U27-1E-9,"Pass","Fail"),IF(T27="Between",IF(AND(I27&gt;=U27,I27&lt;=V27),"Pass","Fail"),IF(J27="","Not done yet",IF(T27="±%",IF(X27="","Check correct answer",IF(ABS(X27)*100&lt;=V27+1E-9,"Pass","Fail")),IF(T27="% range",IF(X27="","Check correct answer",IF(AND(X27*100&gt;=U27-1E-9,X27*100&lt;=V27+1E-9),"Pass","Fail")),IF(T27="±abs",IF(ABS(W27)&lt;=V27+1E-9,"Pass","Fail"),"Check type"))))))))))</f>
        <v/>
      </c>
    </row>
    <row r="28">
      <c r="A28" s="15" t="inlineStr">
        <is>
          <t>S3-022</t>
        </is>
      </c>
      <c r="B28" s="15" t="inlineStr">
        <is>
          <t>A</t>
        </is>
      </c>
      <c r="C28" s="15" t="inlineStr">
        <is>
          <t>Load combinations</t>
        </is>
      </c>
      <c r="D28" s="15" t="inlineStr">
        <is>
          <t>One column, worst axial load under 1.5(DL ± WL)</t>
        </is>
      </c>
      <c r="E28" s="15" t="inlineStr">
        <is>
          <t>kN</t>
        </is>
      </c>
      <c r="F28" s="15" t="inlineStr">
        <is>
          <t>Book</t>
        </is>
      </c>
      <c r="G28" s="15" t="inlineStr">
        <is>
          <t>Hand calculation</t>
        </is>
      </c>
      <c r="H28" s="15" t="inlineStr">
        <is>
          <t>Same as correct answer</t>
        </is>
      </c>
      <c r="I28" s="16" t="n"/>
      <c r="J28" s="16" t="n"/>
      <c r="K28" s="16" t="n"/>
      <c r="L28" s="17">
        <f>IF(W28="","",W28)</f>
        <v/>
      </c>
      <c r="M28" s="18">
        <f>IF(O28&lt;&gt;"",O28,Y28)</f>
        <v/>
      </c>
      <c r="N28" s="16" t="n"/>
      <c r="O28" s="19" t="n"/>
      <c r="P28" s="19" t="n"/>
      <c r="Q28" s="19" t="n"/>
      <c r="R28" s="20" t="inlineStr">
        <is>
          <t>IS 456:2000 Table 18</t>
        </is>
      </c>
      <c r="S28" s="20" t="inlineStr">
        <is>
          <t>IS 456:2000</t>
        </is>
      </c>
      <c r="T28" s="20" t="inlineStr">
        <is>
          <t>Exact</t>
        </is>
      </c>
      <c r="U28" s="20" t="n"/>
      <c r="V28" s="20" t="n"/>
      <c r="W28" s="20">
        <f>IF(AND(ISNUMBER(I28),ISNUMBER(J28)),I28-J28,"")</f>
        <v/>
      </c>
      <c r="X28" s="20">
        <f>IF(AND(ISNUMBER(I28),ISNUMBER(J28)),IF(J28=0,"",(I28-J28)/ABS(J28)),"")</f>
        <v/>
      </c>
      <c r="Y28" s="20">
        <f>IF(T28="Advisory","No pass mark",IF(T28="Manual","Claude will check",IF(I28="","Not done yet",IF(T28="Exact",IF(AND(ISNUMBER(I28),ISNUMBER(J28)),IF(ROUND(I28,2)=ROUND(J28,2),"Pass","Fail"),IF(TRIM(LOWER(I28&amp;""))=TRIM(LOWER(J28&amp;"")),"Pass","Fail")),IF(T28="Min",IF(I28&gt;=U28-1E-9,"Pass","Fail"),IF(T28="Between",IF(AND(I28&gt;=U28,I28&lt;=V28),"Pass","Fail"),IF(J28="","Not done yet",IF(T28="±%",IF(X28="","Check correct answer",IF(ABS(X28)*100&lt;=V28+1E-9,"Pass","Fail")),IF(T28="% range",IF(X28="","Check correct answer",IF(AND(X28*100&gt;=U28-1E-9,X28*100&lt;=V28+1E-9),"Pass","Fail")),IF(T28="±abs",IF(ABS(W28)&lt;=V28+1E-9,"Pass","Fail"),"Check type"))))))))))</f>
        <v/>
      </c>
    </row>
    <row r="29">
      <c r="A29" s="15" t="inlineStr">
        <is>
          <t>S3-023</t>
        </is>
      </c>
      <c r="B29" s="15" t="inlineStr">
        <is>
          <t>A</t>
        </is>
      </c>
      <c r="C29" s="15" t="inlineStr">
        <is>
          <t>Load combinations</t>
        </is>
      </c>
      <c r="D29" s="15" t="inlineStr">
        <is>
          <t>One column, worst axial load under 1.2(DL + LL ± WL)</t>
        </is>
      </c>
      <c r="E29" s="15" t="inlineStr">
        <is>
          <t>kN</t>
        </is>
      </c>
      <c r="F29" s="15" t="inlineStr">
        <is>
          <t>Book</t>
        </is>
      </c>
      <c r="G29" s="15" t="inlineStr">
        <is>
          <t>Hand calculation</t>
        </is>
      </c>
      <c r="H29" s="15" t="inlineStr">
        <is>
          <t>Same as correct answer</t>
        </is>
      </c>
      <c r="I29" s="16" t="n"/>
      <c r="J29" s="16" t="n"/>
      <c r="K29" s="16" t="n"/>
      <c r="L29" s="17">
        <f>IF(W29="","",W29)</f>
        <v/>
      </c>
      <c r="M29" s="18">
        <f>IF(O29&lt;&gt;"",O29,Y29)</f>
        <v/>
      </c>
      <c r="N29" s="16" t="n"/>
      <c r="O29" s="19" t="n"/>
      <c r="P29" s="19" t="n"/>
      <c r="Q29" s="19" t="n"/>
      <c r="R29" s="20" t="inlineStr">
        <is>
          <t>IS 456:2000 Table 18</t>
        </is>
      </c>
      <c r="S29" s="20" t="inlineStr">
        <is>
          <t>IS 456:2000</t>
        </is>
      </c>
      <c r="T29" s="20" t="inlineStr">
        <is>
          <t>Exact</t>
        </is>
      </c>
      <c r="U29" s="20" t="n"/>
      <c r="V29" s="20" t="n"/>
      <c r="W29" s="20">
        <f>IF(AND(ISNUMBER(I29),ISNUMBER(J29)),I29-J29,"")</f>
        <v/>
      </c>
      <c r="X29" s="20">
        <f>IF(AND(ISNUMBER(I29),ISNUMBER(J29)),IF(J29=0,"",(I29-J29)/ABS(J29)),"")</f>
        <v/>
      </c>
      <c r="Y29" s="20">
        <f>IF(T29="Advisory","No pass mark",IF(T29="Manual","Claude will check",IF(I29="","Not done yet",IF(T29="Exact",IF(AND(ISNUMBER(I29),ISNUMBER(J29)),IF(ROUND(I29,2)=ROUND(J29,2),"Pass","Fail"),IF(TRIM(LOWER(I29&amp;""))=TRIM(LOWER(J29&amp;"")),"Pass","Fail")),IF(T29="Min",IF(I29&gt;=U29-1E-9,"Pass","Fail"),IF(T29="Between",IF(AND(I29&gt;=U29,I29&lt;=V29),"Pass","Fail"),IF(J29="","Not done yet",IF(T29="±%",IF(X29="","Check correct answer",IF(ABS(X29)*100&lt;=V29+1E-9,"Pass","Fail")),IF(T29="% range",IF(X29="","Check correct answer",IF(AND(X29*100&gt;=U29-1E-9,X29*100&lt;=V29+1E-9),"Pass","Fail")),IF(T29="±abs",IF(ABS(W29)&lt;=V29+1E-9,"Pass","Fail"),"Check type"))))))))))</f>
        <v/>
      </c>
    </row>
    <row r="30">
      <c r="A30" s="15" t="inlineStr">
        <is>
          <t>S3-024</t>
        </is>
      </c>
      <c r="B30" s="15" t="inlineStr">
        <is>
          <t>A</t>
        </is>
      </c>
      <c r="C30" s="15" t="inlineStr">
        <is>
          <t>Load combinations</t>
        </is>
      </c>
      <c r="D30" s="15" t="inlineStr">
        <is>
          <t>One column, worst axial load under 0.9DL ± 1.5WL</t>
        </is>
      </c>
      <c r="E30" s="15" t="inlineStr">
        <is>
          <t>kN</t>
        </is>
      </c>
      <c r="F30" s="15" t="inlineStr">
        <is>
          <t>Book</t>
        </is>
      </c>
      <c r="G30" s="15" t="inlineStr">
        <is>
          <t>Hand calculation</t>
        </is>
      </c>
      <c r="H30" s="15" t="inlineStr">
        <is>
          <t>Same as correct answer</t>
        </is>
      </c>
      <c r="I30" s="16" t="n"/>
      <c r="J30" s="16" t="n"/>
      <c r="K30" s="16" t="n"/>
      <c r="L30" s="17">
        <f>IF(W30="","",W30)</f>
        <v/>
      </c>
      <c r="M30" s="18">
        <f>IF(O30&lt;&gt;"",O30,Y30)</f>
        <v/>
      </c>
      <c r="N30" s="16" t="n"/>
      <c r="O30" s="19" t="n"/>
      <c r="P30" s="19" t="n"/>
      <c r="Q30" s="19" t="n"/>
      <c r="R30" s="20" t="inlineStr">
        <is>
          <t>IS 456:2000 Table 18</t>
        </is>
      </c>
      <c r="S30" s="20" t="inlineStr">
        <is>
          <t>IS 456:2000</t>
        </is>
      </c>
      <c r="T30" s="20" t="inlineStr">
        <is>
          <t>Exact</t>
        </is>
      </c>
      <c r="U30" s="20" t="n"/>
      <c r="V30" s="20" t="n"/>
      <c r="W30" s="20">
        <f>IF(AND(ISNUMBER(I30),ISNUMBER(J30)),I30-J30,"")</f>
        <v/>
      </c>
      <c r="X30" s="20">
        <f>IF(AND(ISNUMBER(I30),ISNUMBER(J30)),IF(J30=0,"",(I30-J30)/ABS(J30)),"")</f>
        <v/>
      </c>
      <c r="Y30" s="20">
        <f>IF(T30="Advisory","No pass mark",IF(T30="Manual","Claude will check",IF(I30="","Not done yet",IF(T30="Exact",IF(AND(ISNUMBER(I30),ISNUMBER(J30)),IF(ROUND(I30,2)=ROUND(J30,2),"Pass","Fail"),IF(TRIM(LOWER(I30&amp;""))=TRIM(LOWER(J30&amp;"")),"Pass","Fail")),IF(T30="Min",IF(I30&gt;=U30-1E-9,"Pass","Fail"),IF(T30="Between",IF(AND(I30&gt;=U30,I30&lt;=V30),"Pass","Fail"),IF(J30="","Not done yet",IF(T30="±%",IF(X30="","Check correct answer",IF(ABS(X30)*100&lt;=V30+1E-9,"Pass","Fail")),IF(T30="% range",IF(X30="","Check correct answer",IF(AND(X30*100&gt;=U30-1E-9,X30*100&lt;=V30+1E-9),"Pass","Fail")),IF(T30="±abs",IF(ABS(W30)&lt;=V30+1E-9,"Pass","Fail"),"Check type"))))))))))</f>
        <v/>
      </c>
    </row>
    <row r="31">
      <c r="A31" s="21" t="n"/>
      <c r="B31" s="22" t="inlineStr">
        <is>
          <t>B's tests (36)</t>
        </is>
      </c>
      <c r="C31" s="21" t="n"/>
      <c r="D31" s="21" t="n"/>
      <c r="E31" s="21" t="n"/>
      <c r="F31" s="21" t="n"/>
      <c r="G31" s="21" t="n"/>
      <c r="H31" s="21" t="n"/>
      <c r="I31" s="21" t="n"/>
      <c r="J31" s="21" t="n"/>
      <c r="K31" s="21" t="n"/>
      <c r="L31" s="21" t="n"/>
      <c r="M31" s="21" t="n"/>
      <c r="N31" s="21" t="n"/>
      <c r="O31" s="21" t="n"/>
      <c r="P31" s="21" t="n"/>
      <c r="Q31" s="21" t="n"/>
    </row>
    <row r="32">
      <c r="A32" s="15" t="inlineStr">
        <is>
          <t>S3-025</t>
        </is>
      </c>
      <c r="B32" s="15" t="inlineStr">
        <is>
          <t>B</t>
        </is>
      </c>
      <c r="C32" s="15" t="inlineStr">
        <is>
          <t>Wind</t>
        </is>
      </c>
      <c r="D32" s="15" t="inlineStr">
        <is>
          <t>SP 64 example 1: design wind pressure pz</t>
        </is>
      </c>
      <c r="E32" s="15" t="inlineStr">
        <is>
          <t>kN/m²</t>
        </is>
      </c>
      <c r="F32" s="15" t="inlineStr">
        <is>
          <t>Book</t>
        </is>
      </c>
      <c r="G32" s="15" t="inlineStr">
        <is>
          <t>SP 64 example 1 (mapped from 1987 code)</t>
        </is>
      </c>
      <c r="H32" s="15" t="inlineStr">
        <is>
          <t>Within 1% of correct answer</t>
        </is>
      </c>
      <c r="I32" s="16" t="n"/>
      <c r="J32" s="16" t="n"/>
      <c r="K32" s="16" t="n"/>
      <c r="L32" s="25">
        <f>IF(X32="","",X32)</f>
        <v/>
      </c>
      <c r="M32" s="18">
        <f>IF(O32&lt;&gt;"",O32,Y32)</f>
        <v/>
      </c>
      <c r="N32" s="16" t="n"/>
      <c r="O32" s="19" t="n"/>
      <c r="P32" s="19" t="n"/>
      <c r="Q32" s="19" t="n"/>
      <c r="R32" s="20" t="inlineStr">
        <is>
          <t>IS 875 (Part 3):2015</t>
        </is>
      </c>
      <c r="S32" s="20" t="inlineStr">
        <is>
          <t>IS 875-3:2015</t>
        </is>
      </c>
      <c r="T32" s="20" t="inlineStr">
        <is>
          <t>±%</t>
        </is>
      </c>
      <c r="U32" s="20" t="n"/>
      <c r="V32" s="20" t="n">
        <v>1</v>
      </c>
      <c r="W32" s="20">
        <f>IF(AND(ISNUMBER(I32),ISNUMBER(J32)),I32-J32,"")</f>
        <v/>
      </c>
      <c r="X32" s="20">
        <f>IF(AND(ISNUMBER(I32),ISNUMBER(J32)),IF(J32=0,"",(I32-J32)/ABS(J32)),"")</f>
        <v/>
      </c>
      <c r="Y32" s="20">
        <f>IF(T32="Advisory","No pass mark",IF(T32="Manual","Claude will check",IF(I32="","Not done yet",IF(T32="Exact",IF(AND(ISNUMBER(I32),ISNUMBER(J32)),IF(ROUND(I32,2)=ROUND(J32,2),"Pass","Fail"),IF(TRIM(LOWER(I32&amp;""))=TRIM(LOWER(J32&amp;"")),"Pass","Fail")),IF(T32="Min",IF(I32&gt;=U32-1E-9,"Pass","Fail"),IF(T32="Between",IF(AND(I32&gt;=U32,I32&lt;=V32),"Pass","Fail"),IF(J32="","Not done yet",IF(T32="±%",IF(X32="","Check correct answer",IF(ABS(X32)*100&lt;=V32+1E-9,"Pass","Fail")),IF(T32="% range",IF(X32="","Check correct answer",IF(AND(X32*100&gt;=U32-1E-9,X32*100&lt;=V32+1E-9),"Pass","Fail")),IF(T32="±abs",IF(ABS(W32)&lt;=V32+1E-9,"Pass","Fail"),"Check type"))))))))))</f>
        <v/>
      </c>
    </row>
    <row r="33">
      <c r="A33" s="15" t="inlineStr">
        <is>
          <t>S3-026</t>
        </is>
      </c>
      <c r="B33" s="15" t="inlineStr">
        <is>
          <t>B</t>
        </is>
      </c>
      <c r="C33" s="15" t="inlineStr">
        <is>
          <t>Wind</t>
        </is>
      </c>
      <c r="D33" s="15" t="inlineStr">
        <is>
          <t>SP 64 example 2: design wind pressure pz</t>
        </is>
      </c>
      <c r="E33" s="15" t="inlineStr">
        <is>
          <t>kN/m²</t>
        </is>
      </c>
      <c r="F33" s="15" t="inlineStr">
        <is>
          <t>Book</t>
        </is>
      </c>
      <c r="G33" s="15" t="inlineStr">
        <is>
          <t>SP 64 example 2 (mapped from 1987 code)</t>
        </is>
      </c>
      <c r="H33" s="15" t="inlineStr">
        <is>
          <t>Within 1% of correct answer</t>
        </is>
      </c>
      <c r="I33" s="16" t="n"/>
      <c r="J33" s="16" t="n"/>
      <c r="K33" s="16" t="n"/>
      <c r="L33" s="25">
        <f>IF(X33="","",X33)</f>
        <v/>
      </c>
      <c r="M33" s="18">
        <f>IF(O33&lt;&gt;"",O33,Y33)</f>
        <v/>
      </c>
      <c r="N33" s="16" t="n"/>
      <c r="O33" s="19" t="n"/>
      <c r="P33" s="19" t="n"/>
      <c r="Q33" s="19" t="n"/>
      <c r="R33" s="20" t="inlineStr">
        <is>
          <t>IS 875 (Part 3):2015</t>
        </is>
      </c>
      <c r="S33" s="20" t="inlineStr">
        <is>
          <t>IS 875-3:2015</t>
        </is>
      </c>
      <c r="T33" s="20" t="inlineStr">
        <is>
          <t>±%</t>
        </is>
      </c>
      <c r="U33" s="20" t="n"/>
      <c r="V33" s="20" t="n">
        <v>1</v>
      </c>
      <c r="W33" s="20">
        <f>IF(AND(ISNUMBER(I33),ISNUMBER(J33)),I33-J33,"")</f>
        <v/>
      </c>
      <c r="X33" s="20">
        <f>IF(AND(ISNUMBER(I33),ISNUMBER(J33)),IF(J33=0,"",(I33-J33)/ABS(J33)),"")</f>
        <v/>
      </c>
      <c r="Y33" s="20">
        <f>IF(T33="Advisory","No pass mark",IF(T33="Manual","Claude will check",IF(I33="","Not done yet",IF(T33="Exact",IF(AND(ISNUMBER(I33),ISNUMBER(J33)),IF(ROUND(I33,2)=ROUND(J33,2),"Pass","Fail"),IF(TRIM(LOWER(I33&amp;""))=TRIM(LOWER(J33&amp;"")),"Pass","Fail")),IF(T33="Min",IF(I33&gt;=U33-1E-9,"Pass","Fail"),IF(T33="Between",IF(AND(I33&gt;=U33,I33&lt;=V33),"Pass","Fail"),IF(J33="","Not done yet",IF(T33="±%",IF(X33="","Check correct answer",IF(ABS(X33)*100&lt;=V33+1E-9,"Pass","Fail")),IF(T33="% range",IF(X33="","Check correct answer",IF(AND(X33*100&gt;=U33-1E-9,X33*100&lt;=V33+1E-9),"Pass","Fail")),IF(T33="±abs",IF(ABS(W33)&lt;=V33+1E-9,"Pass","Fail"),"Check type"))))))))))</f>
        <v/>
      </c>
    </row>
    <row r="34">
      <c r="A34" s="15" t="inlineStr">
        <is>
          <t>S3-027</t>
        </is>
      </c>
      <c r="B34" s="15" t="inlineStr">
        <is>
          <t>B</t>
        </is>
      </c>
      <c r="C34" s="15" t="inlineStr">
        <is>
          <t>Wind</t>
        </is>
      </c>
      <c r="D34" s="15" t="inlineStr">
        <is>
          <t>IS 875-3:2015 worked example: design wind pressure pz</t>
        </is>
      </c>
      <c r="E34" s="15" t="inlineStr">
        <is>
          <t>kN/m²</t>
        </is>
      </c>
      <c r="F34" s="15" t="inlineStr">
        <is>
          <t>Book</t>
        </is>
      </c>
      <c r="G34" s="15" t="inlineStr">
        <is>
          <t>2015 worked example</t>
        </is>
      </c>
      <c r="H34" s="15" t="inlineStr">
        <is>
          <t>Within 1% of correct answer</t>
        </is>
      </c>
      <c r="I34" s="16" t="n"/>
      <c r="J34" s="16" t="n"/>
      <c r="K34" s="16" t="n"/>
      <c r="L34" s="25">
        <f>IF(X34="","",X34)</f>
        <v/>
      </c>
      <c r="M34" s="18">
        <f>IF(O34&lt;&gt;"",O34,Y34)</f>
        <v/>
      </c>
      <c r="N34" s="16" t="n"/>
      <c r="O34" s="19" t="n"/>
      <c r="P34" s="19" t="n"/>
      <c r="Q34" s="19" t="n"/>
      <c r="R34" s="20" t="inlineStr">
        <is>
          <t>IS 875 (Part 3):2015</t>
        </is>
      </c>
      <c r="S34" s="20" t="inlineStr">
        <is>
          <t>IS 875-3:2015</t>
        </is>
      </c>
      <c r="T34" s="20" t="inlineStr">
        <is>
          <t>±%</t>
        </is>
      </c>
      <c r="U34" s="20" t="n"/>
      <c r="V34" s="20" t="n">
        <v>1</v>
      </c>
      <c r="W34" s="20">
        <f>IF(AND(ISNUMBER(I34),ISNUMBER(J34)),I34-J34,"")</f>
        <v/>
      </c>
      <c r="X34" s="20">
        <f>IF(AND(ISNUMBER(I34),ISNUMBER(J34)),IF(J34=0,"",(I34-J34)/ABS(J34)),"")</f>
        <v/>
      </c>
      <c r="Y34" s="20">
        <f>IF(T34="Advisory","No pass mark",IF(T34="Manual","Claude will check",IF(I34="","Not done yet",IF(T34="Exact",IF(AND(ISNUMBER(I34),ISNUMBER(J34)),IF(ROUND(I34,2)=ROUND(J34,2),"Pass","Fail"),IF(TRIM(LOWER(I34&amp;""))=TRIM(LOWER(J34&amp;"")),"Pass","Fail")),IF(T34="Min",IF(I34&gt;=U34-1E-9,"Pass","Fail"),IF(T34="Between",IF(AND(I34&gt;=U34,I34&lt;=V34),"Pass","Fail"),IF(J34="","Not done yet",IF(T34="±%",IF(X34="","Check correct answer",IF(ABS(X34)*100&lt;=V34+1E-9,"Pass","Fail")),IF(T34="% range",IF(X34="","Check correct answer",IF(AND(X34*100&gt;=U34-1E-9,X34*100&lt;=V34+1E-9),"Pass","Fail")),IF(T34="±abs",IF(ABS(W34)&lt;=V34+1E-9,"Pass","Fail"),"Check type"))))))))))</f>
        <v/>
      </c>
    </row>
    <row r="35">
      <c r="A35" s="15" t="inlineStr">
        <is>
          <t>S3-028</t>
        </is>
      </c>
      <c r="B35" s="15" t="inlineStr">
        <is>
          <t>B</t>
        </is>
      </c>
      <c r="C35" s="15" t="inlineStr">
        <is>
          <t>Wind</t>
        </is>
      </c>
      <c r="D35" s="15" t="inlineStr">
        <is>
          <t>k2 at 10 m height</t>
        </is>
      </c>
      <c r="E35" s="15" t="inlineStr">
        <is>
          <t>—</t>
        </is>
      </c>
      <c r="F35" s="15" t="inlineStr">
        <is>
          <t>Book</t>
        </is>
      </c>
      <c r="G35" s="15" t="inlineStr">
        <is>
          <t>Table 2, interpolated between rows</t>
        </is>
      </c>
      <c r="H35" s="15" t="inlineStr">
        <is>
          <t>Within 1% of correct answer</t>
        </is>
      </c>
      <c r="I35" s="16" t="n"/>
      <c r="J35" s="16" t="n"/>
      <c r="K35" s="16" t="n"/>
      <c r="L35" s="25">
        <f>IF(X35="","",X35)</f>
        <v/>
      </c>
      <c r="M35" s="18">
        <f>IF(O35&lt;&gt;"",O35,Y35)</f>
        <v/>
      </c>
      <c r="N35" s="16" t="n"/>
      <c r="O35" s="19" t="n"/>
      <c r="P35" s="19" t="n"/>
      <c r="Q35" s="19" t="n"/>
      <c r="R35" s="20" t="inlineStr">
        <is>
          <t>IS 875 (Part 3):2015 Table 2</t>
        </is>
      </c>
      <c r="S35" s="20" t="inlineStr">
        <is>
          <t>IS 875-3:2015</t>
        </is>
      </c>
      <c r="T35" s="20" t="inlineStr">
        <is>
          <t>±%</t>
        </is>
      </c>
      <c r="U35" s="20" t="n"/>
      <c r="V35" s="20" t="n">
        <v>1</v>
      </c>
      <c r="W35" s="20">
        <f>IF(AND(ISNUMBER(I35),ISNUMBER(J35)),I35-J35,"")</f>
        <v/>
      </c>
      <c r="X35" s="20">
        <f>IF(AND(ISNUMBER(I35),ISNUMBER(J35)),IF(J35=0,"",(I35-J35)/ABS(J35)),"")</f>
        <v/>
      </c>
      <c r="Y35" s="20">
        <f>IF(T35="Advisory","No pass mark",IF(T35="Manual","Claude will check",IF(I35="","Not done yet",IF(T35="Exact",IF(AND(ISNUMBER(I35),ISNUMBER(J35)),IF(ROUND(I35,2)=ROUND(J35,2),"Pass","Fail"),IF(TRIM(LOWER(I35&amp;""))=TRIM(LOWER(J35&amp;"")),"Pass","Fail")),IF(T35="Min",IF(I35&gt;=U35-1E-9,"Pass","Fail"),IF(T35="Between",IF(AND(I35&gt;=U35,I35&lt;=V35),"Pass","Fail"),IF(J35="","Not done yet",IF(T35="±%",IF(X35="","Check correct answer",IF(ABS(X35)*100&lt;=V35+1E-9,"Pass","Fail")),IF(T35="% range",IF(X35="","Check correct answer",IF(AND(X35*100&gt;=U35-1E-9,X35*100&lt;=V35+1E-9),"Pass","Fail")),IF(T35="±abs",IF(ABS(W35)&lt;=V35+1E-9,"Pass","Fail"),"Check type"))))))))))</f>
        <v/>
      </c>
    </row>
    <row r="36">
      <c r="A36" s="15" t="inlineStr">
        <is>
          <t>S3-029</t>
        </is>
      </c>
      <c r="B36" s="15" t="inlineStr">
        <is>
          <t>B</t>
        </is>
      </c>
      <c r="C36" s="15" t="inlineStr">
        <is>
          <t>Wind</t>
        </is>
      </c>
      <c r="D36" s="15" t="inlineStr">
        <is>
          <t>k2 at 12 m height</t>
        </is>
      </c>
      <c r="E36" s="15" t="inlineStr">
        <is>
          <t>—</t>
        </is>
      </c>
      <c r="F36" s="15" t="inlineStr">
        <is>
          <t>Book</t>
        </is>
      </c>
      <c r="G36" s="15" t="inlineStr">
        <is>
          <t>Table 2, interpolated between rows</t>
        </is>
      </c>
      <c r="H36" s="15" t="inlineStr">
        <is>
          <t>Within 1% of correct answer</t>
        </is>
      </c>
      <c r="I36" s="16" t="n"/>
      <c r="J36" s="16" t="n"/>
      <c r="K36" s="16" t="n"/>
      <c r="L36" s="25">
        <f>IF(X36="","",X36)</f>
        <v/>
      </c>
      <c r="M36" s="18">
        <f>IF(O36&lt;&gt;"",O36,Y36)</f>
        <v/>
      </c>
      <c r="N36" s="16" t="n"/>
      <c r="O36" s="19" t="n"/>
      <c r="P36" s="19" t="n"/>
      <c r="Q36" s="19" t="n"/>
      <c r="R36" s="20" t="inlineStr">
        <is>
          <t>IS 875 (Part 3):2015 Table 2</t>
        </is>
      </c>
      <c r="S36" s="20" t="inlineStr">
        <is>
          <t>IS 875-3:2015</t>
        </is>
      </c>
      <c r="T36" s="20" t="inlineStr">
        <is>
          <t>±%</t>
        </is>
      </c>
      <c r="U36" s="20" t="n"/>
      <c r="V36" s="20" t="n">
        <v>1</v>
      </c>
      <c r="W36" s="20">
        <f>IF(AND(ISNUMBER(I36),ISNUMBER(J36)),I36-J36,"")</f>
        <v/>
      </c>
      <c r="X36" s="20">
        <f>IF(AND(ISNUMBER(I36),ISNUMBER(J36)),IF(J36=0,"",(I36-J36)/ABS(J36)),"")</f>
        <v/>
      </c>
      <c r="Y36" s="20">
        <f>IF(T36="Advisory","No pass mark",IF(T36="Manual","Claude will check",IF(I36="","Not done yet",IF(T36="Exact",IF(AND(ISNUMBER(I36),ISNUMBER(J36)),IF(ROUND(I36,2)=ROUND(J36,2),"Pass","Fail"),IF(TRIM(LOWER(I36&amp;""))=TRIM(LOWER(J36&amp;"")),"Pass","Fail")),IF(T36="Min",IF(I36&gt;=U36-1E-9,"Pass","Fail"),IF(T36="Between",IF(AND(I36&gt;=U36,I36&lt;=V36),"Pass","Fail"),IF(J36="","Not done yet",IF(T36="±%",IF(X36="","Check correct answer",IF(ABS(X36)*100&lt;=V36+1E-9,"Pass","Fail")),IF(T36="% range",IF(X36="","Check correct answer",IF(AND(X36*100&gt;=U36-1E-9,X36*100&lt;=V36+1E-9),"Pass","Fail")),IF(T36="±abs",IF(ABS(W36)&lt;=V36+1E-9,"Pass","Fail"),"Check type"))))))))))</f>
        <v/>
      </c>
    </row>
    <row r="37">
      <c r="A37" s="15" t="inlineStr">
        <is>
          <t>S3-030</t>
        </is>
      </c>
      <c r="B37" s="15" t="inlineStr">
        <is>
          <t>B</t>
        </is>
      </c>
      <c r="C37" s="15" t="inlineStr">
        <is>
          <t>Wind</t>
        </is>
      </c>
      <c r="D37" s="15" t="inlineStr">
        <is>
          <t>k2 at 15 m height</t>
        </is>
      </c>
      <c r="E37" s="15" t="inlineStr">
        <is>
          <t>—</t>
        </is>
      </c>
      <c r="F37" s="15" t="inlineStr">
        <is>
          <t>Book</t>
        </is>
      </c>
      <c r="G37" s="15" t="inlineStr">
        <is>
          <t>Table 2, interpolated between rows</t>
        </is>
      </c>
      <c r="H37" s="15" t="inlineStr">
        <is>
          <t>Within 1% of correct answer</t>
        </is>
      </c>
      <c r="I37" s="16" t="n"/>
      <c r="J37" s="16" t="n"/>
      <c r="K37" s="16" t="n"/>
      <c r="L37" s="25">
        <f>IF(X37="","",X37)</f>
        <v/>
      </c>
      <c r="M37" s="18">
        <f>IF(O37&lt;&gt;"",O37,Y37)</f>
        <v/>
      </c>
      <c r="N37" s="16" t="n"/>
      <c r="O37" s="19" t="n"/>
      <c r="P37" s="19" t="n"/>
      <c r="Q37" s="19" t="n"/>
      <c r="R37" s="20" t="inlineStr">
        <is>
          <t>IS 875 (Part 3):2015 Table 2</t>
        </is>
      </c>
      <c r="S37" s="20" t="inlineStr">
        <is>
          <t>IS 875-3:2015</t>
        </is>
      </c>
      <c r="T37" s="20" t="inlineStr">
        <is>
          <t>±%</t>
        </is>
      </c>
      <c r="U37" s="20" t="n"/>
      <c r="V37" s="20" t="n">
        <v>1</v>
      </c>
      <c r="W37" s="20">
        <f>IF(AND(ISNUMBER(I37),ISNUMBER(J37)),I37-J37,"")</f>
        <v/>
      </c>
      <c r="X37" s="20">
        <f>IF(AND(ISNUMBER(I37),ISNUMBER(J37)),IF(J37=0,"",(I37-J37)/ABS(J37)),"")</f>
        <v/>
      </c>
      <c r="Y37" s="20">
        <f>IF(T37="Advisory","No pass mark",IF(T37="Manual","Claude will check",IF(I37="","Not done yet",IF(T37="Exact",IF(AND(ISNUMBER(I37),ISNUMBER(J37)),IF(ROUND(I37,2)=ROUND(J37,2),"Pass","Fail"),IF(TRIM(LOWER(I37&amp;""))=TRIM(LOWER(J37&amp;"")),"Pass","Fail")),IF(T37="Min",IF(I37&gt;=U37-1E-9,"Pass","Fail"),IF(T37="Between",IF(AND(I37&gt;=U37,I37&lt;=V37),"Pass","Fail"),IF(J37="","Not done yet",IF(T37="±%",IF(X37="","Check correct answer",IF(ABS(X37)*100&lt;=V37+1E-9,"Pass","Fail")),IF(T37="% range",IF(X37="","Check correct answer",IF(AND(X37*100&gt;=U37-1E-9,X37*100&lt;=V37+1E-9),"Pass","Fail")),IF(T37="±abs",IF(ABS(W37)&lt;=V37+1E-9,"Pass","Fail"),"Check type"))))))))))</f>
        <v/>
      </c>
    </row>
    <row r="38">
      <c r="A38" s="15" t="inlineStr">
        <is>
          <t>S3-031</t>
        </is>
      </c>
      <c r="B38" s="15" t="inlineStr">
        <is>
          <t>B</t>
        </is>
      </c>
      <c r="C38" s="15" t="inlineStr">
        <is>
          <t>Wind</t>
        </is>
      </c>
      <c r="D38" s="15" t="inlineStr">
        <is>
          <t>k2 at 20 m height</t>
        </is>
      </c>
      <c r="E38" s="15" t="inlineStr">
        <is>
          <t>—</t>
        </is>
      </c>
      <c r="F38" s="15" t="inlineStr">
        <is>
          <t>Book</t>
        </is>
      </c>
      <c r="G38" s="15" t="inlineStr">
        <is>
          <t>Table 2, interpolated between rows</t>
        </is>
      </c>
      <c r="H38" s="15" t="inlineStr">
        <is>
          <t>Within 1% of correct answer</t>
        </is>
      </c>
      <c r="I38" s="16" t="n"/>
      <c r="J38" s="16" t="n"/>
      <c r="K38" s="16" t="n"/>
      <c r="L38" s="25">
        <f>IF(X38="","",X38)</f>
        <v/>
      </c>
      <c r="M38" s="18">
        <f>IF(O38&lt;&gt;"",O38,Y38)</f>
        <v/>
      </c>
      <c r="N38" s="16" t="n"/>
      <c r="O38" s="19" t="n"/>
      <c r="P38" s="19" t="n"/>
      <c r="Q38" s="19" t="n"/>
      <c r="R38" s="20" t="inlineStr">
        <is>
          <t>IS 875 (Part 3):2015 Table 2</t>
        </is>
      </c>
      <c r="S38" s="20" t="inlineStr">
        <is>
          <t>IS 875-3:2015</t>
        </is>
      </c>
      <c r="T38" s="20" t="inlineStr">
        <is>
          <t>±%</t>
        </is>
      </c>
      <c r="U38" s="20" t="n"/>
      <c r="V38" s="20" t="n">
        <v>1</v>
      </c>
      <c r="W38" s="20">
        <f>IF(AND(ISNUMBER(I38),ISNUMBER(J38)),I38-J38,"")</f>
        <v/>
      </c>
      <c r="X38" s="20">
        <f>IF(AND(ISNUMBER(I38),ISNUMBER(J38)),IF(J38=0,"",(I38-J38)/ABS(J38)),"")</f>
        <v/>
      </c>
      <c r="Y38" s="20">
        <f>IF(T38="Advisory","No pass mark",IF(T38="Manual","Claude will check",IF(I38="","Not done yet",IF(T38="Exact",IF(AND(ISNUMBER(I38),ISNUMBER(J38)),IF(ROUND(I38,2)=ROUND(J38,2),"Pass","Fail"),IF(TRIM(LOWER(I38&amp;""))=TRIM(LOWER(J38&amp;"")),"Pass","Fail")),IF(T38="Min",IF(I38&gt;=U38-1E-9,"Pass","Fail"),IF(T38="Between",IF(AND(I38&gt;=U38,I38&lt;=V38),"Pass","Fail"),IF(J38="","Not done yet",IF(T38="±%",IF(X38="","Check correct answer",IF(ABS(X38)*100&lt;=V38+1E-9,"Pass","Fail")),IF(T38="% range",IF(X38="","Check correct answer",IF(AND(X38*100&gt;=U38-1E-9,X38*100&lt;=V38+1E-9),"Pass","Fail")),IF(T38="±abs",IF(ABS(W38)&lt;=V38+1E-9,"Pass","Fail"),"Check type"))))))))))</f>
        <v/>
      </c>
    </row>
    <row r="39">
      <c r="A39" s="15" t="inlineStr">
        <is>
          <t>S3-032</t>
        </is>
      </c>
      <c r="B39" s="15" t="inlineStr">
        <is>
          <t>B</t>
        </is>
      </c>
      <c r="C39" s="15" t="inlineStr">
        <is>
          <t>Wind</t>
        </is>
      </c>
      <c r="D39" s="15" t="inlineStr">
        <is>
          <t>k2 at 25 m height</t>
        </is>
      </c>
      <c r="E39" s="15" t="inlineStr">
        <is>
          <t>—</t>
        </is>
      </c>
      <c r="F39" s="15" t="inlineStr">
        <is>
          <t>Book</t>
        </is>
      </c>
      <c r="G39" s="15" t="inlineStr">
        <is>
          <t>Table 2, interpolated between rows</t>
        </is>
      </c>
      <c r="H39" s="15" t="inlineStr">
        <is>
          <t>Within 1% of correct answer</t>
        </is>
      </c>
      <c r="I39" s="16" t="n"/>
      <c r="J39" s="16" t="n"/>
      <c r="K39" s="16" t="n"/>
      <c r="L39" s="25">
        <f>IF(X39="","",X39)</f>
        <v/>
      </c>
      <c r="M39" s="18">
        <f>IF(O39&lt;&gt;"",O39,Y39)</f>
        <v/>
      </c>
      <c r="N39" s="16" t="n"/>
      <c r="O39" s="19" t="n"/>
      <c r="P39" s="19" t="n"/>
      <c r="Q39" s="19" t="n"/>
      <c r="R39" s="20" t="inlineStr">
        <is>
          <t>IS 875 (Part 3):2015 Table 2</t>
        </is>
      </c>
      <c r="S39" s="20" t="inlineStr">
        <is>
          <t>IS 875-3:2015</t>
        </is>
      </c>
      <c r="T39" s="20" t="inlineStr">
        <is>
          <t>±%</t>
        </is>
      </c>
      <c r="U39" s="20" t="n"/>
      <c r="V39" s="20" t="n">
        <v>1</v>
      </c>
      <c r="W39" s="20">
        <f>IF(AND(ISNUMBER(I39),ISNUMBER(J39)),I39-J39,"")</f>
        <v/>
      </c>
      <c r="X39" s="20">
        <f>IF(AND(ISNUMBER(I39),ISNUMBER(J39)),IF(J39=0,"",(I39-J39)/ABS(J39)),"")</f>
        <v/>
      </c>
      <c r="Y39" s="20">
        <f>IF(T39="Advisory","No pass mark",IF(T39="Manual","Claude will check",IF(I39="","Not done yet",IF(T39="Exact",IF(AND(ISNUMBER(I39),ISNUMBER(J39)),IF(ROUND(I39,2)=ROUND(J39,2),"Pass","Fail"),IF(TRIM(LOWER(I39&amp;""))=TRIM(LOWER(J39&amp;"")),"Pass","Fail")),IF(T39="Min",IF(I39&gt;=U39-1E-9,"Pass","Fail"),IF(T39="Between",IF(AND(I39&gt;=U39,I39&lt;=V39),"Pass","Fail"),IF(J39="","Not done yet",IF(T39="±%",IF(X39="","Check correct answer",IF(ABS(X39)*100&lt;=V39+1E-9,"Pass","Fail")),IF(T39="% range",IF(X39="","Check correct answer",IF(AND(X39*100&gt;=U39-1E-9,X39*100&lt;=V39+1E-9),"Pass","Fail")),IF(T39="±abs",IF(ABS(W39)&lt;=V39+1E-9,"Pass","Fail"),"Check type"))))))))))</f>
        <v/>
      </c>
    </row>
    <row r="40">
      <c r="A40" s="15" t="inlineStr">
        <is>
          <t>S3-033</t>
        </is>
      </c>
      <c r="B40" s="15" t="inlineStr">
        <is>
          <t>B</t>
        </is>
      </c>
      <c r="C40" s="15" t="inlineStr">
        <is>
          <t>Wind</t>
        </is>
      </c>
      <c r="D40" s="15" t="inlineStr">
        <is>
          <t>k2 at 30 m height</t>
        </is>
      </c>
      <c r="E40" s="15" t="inlineStr">
        <is>
          <t>—</t>
        </is>
      </c>
      <c r="F40" s="15" t="inlineStr">
        <is>
          <t>Book</t>
        </is>
      </c>
      <c r="G40" s="15" t="inlineStr">
        <is>
          <t>Table 2, interpolated between rows</t>
        </is>
      </c>
      <c r="H40" s="15" t="inlineStr">
        <is>
          <t>Within 1% of correct answer</t>
        </is>
      </c>
      <c r="I40" s="16" t="n"/>
      <c r="J40" s="16" t="n"/>
      <c r="K40" s="16" t="n"/>
      <c r="L40" s="25">
        <f>IF(X40="","",X40)</f>
        <v/>
      </c>
      <c r="M40" s="18">
        <f>IF(O40&lt;&gt;"",O40,Y40)</f>
        <v/>
      </c>
      <c r="N40" s="16" t="n"/>
      <c r="O40" s="19" t="n"/>
      <c r="P40" s="19" t="n"/>
      <c r="Q40" s="19" t="n"/>
      <c r="R40" s="20" t="inlineStr">
        <is>
          <t>IS 875 (Part 3):2015 Table 2</t>
        </is>
      </c>
      <c r="S40" s="20" t="inlineStr">
        <is>
          <t>IS 875-3:2015</t>
        </is>
      </c>
      <c r="T40" s="20" t="inlineStr">
        <is>
          <t>±%</t>
        </is>
      </c>
      <c r="U40" s="20" t="n"/>
      <c r="V40" s="20" t="n">
        <v>1</v>
      </c>
      <c r="W40" s="20">
        <f>IF(AND(ISNUMBER(I40),ISNUMBER(J40)),I40-J40,"")</f>
        <v/>
      </c>
      <c r="X40" s="20">
        <f>IF(AND(ISNUMBER(I40),ISNUMBER(J40)),IF(J40=0,"",(I40-J40)/ABS(J40)),"")</f>
        <v/>
      </c>
      <c r="Y40" s="20">
        <f>IF(T40="Advisory","No pass mark",IF(T40="Manual","Claude will check",IF(I40="","Not done yet",IF(T40="Exact",IF(AND(ISNUMBER(I40),ISNUMBER(J40)),IF(ROUND(I40,2)=ROUND(J40,2),"Pass","Fail"),IF(TRIM(LOWER(I40&amp;""))=TRIM(LOWER(J40&amp;"")),"Pass","Fail")),IF(T40="Min",IF(I40&gt;=U40-1E-9,"Pass","Fail"),IF(T40="Between",IF(AND(I40&gt;=U40,I40&lt;=V40),"Pass","Fail"),IF(J40="","Not done yet",IF(T40="±%",IF(X40="","Check correct answer",IF(ABS(X40)*100&lt;=V40+1E-9,"Pass","Fail")),IF(T40="% range",IF(X40="","Check correct answer",IF(AND(X40*100&gt;=U40-1E-9,X40*100&lt;=V40+1E-9),"Pass","Fail")),IF(T40="±abs",IF(ABS(W40)&lt;=V40+1E-9,"Pass","Fail"),"Check type"))))))))))</f>
        <v/>
      </c>
    </row>
    <row r="41">
      <c r="A41" s="15" t="inlineStr">
        <is>
          <t>S3-034</t>
        </is>
      </c>
      <c r="B41" s="15" t="inlineStr">
        <is>
          <t>B</t>
        </is>
      </c>
      <c r="C41" s="15" t="inlineStr">
        <is>
          <t>Wind</t>
        </is>
      </c>
      <c r="D41" s="15" t="inlineStr">
        <is>
          <t>k2 at 40 m height</t>
        </is>
      </c>
      <c r="E41" s="15" t="inlineStr">
        <is>
          <t>—</t>
        </is>
      </c>
      <c r="F41" s="15" t="inlineStr">
        <is>
          <t>Book</t>
        </is>
      </c>
      <c r="G41" s="15" t="inlineStr">
        <is>
          <t>Table 2, interpolated between rows</t>
        </is>
      </c>
      <c r="H41" s="15" t="inlineStr">
        <is>
          <t>Within 1% of correct answer</t>
        </is>
      </c>
      <c r="I41" s="16" t="n"/>
      <c r="J41" s="16" t="n"/>
      <c r="K41" s="16" t="n"/>
      <c r="L41" s="25">
        <f>IF(X41="","",X41)</f>
        <v/>
      </c>
      <c r="M41" s="18">
        <f>IF(O41&lt;&gt;"",O41,Y41)</f>
        <v/>
      </c>
      <c r="N41" s="16" t="n"/>
      <c r="O41" s="19" t="n"/>
      <c r="P41" s="19" t="n"/>
      <c r="Q41" s="19" t="n"/>
      <c r="R41" s="20" t="inlineStr">
        <is>
          <t>IS 875 (Part 3):2015 Table 2</t>
        </is>
      </c>
      <c r="S41" s="20" t="inlineStr">
        <is>
          <t>IS 875-3:2015</t>
        </is>
      </c>
      <c r="T41" s="20" t="inlineStr">
        <is>
          <t>±%</t>
        </is>
      </c>
      <c r="U41" s="20" t="n"/>
      <c r="V41" s="20" t="n">
        <v>1</v>
      </c>
      <c r="W41" s="20">
        <f>IF(AND(ISNUMBER(I41),ISNUMBER(J41)),I41-J41,"")</f>
        <v/>
      </c>
      <c r="X41" s="20">
        <f>IF(AND(ISNUMBER(I41),ISNUMBER(J41)),IF(J41=0,"",(I41-J41)/ABS(J41)),"")</f>
        <v/>
      </c>
      <c r="Y41" s="20">
        <f>IF(T41="Advisory","No pass mark",IF(T41="Manual","Claude will check",IF(I41="","Not done yet",IF(T41="Exact",IF(AND(ISNUMBER(I41),ISNUMBER(J41)),IF(ROUND(I41,2)=ROUND(J41,2),"Pass","Fail"),IF(TRIM(LOWER(I41&amp;""))=TRIM(LOWER(J41&amp;"")),"Pass","Fail")),IF(T41="Min",IF(I41&gt;=U41-1E-9,"Pass","Fail"),IF(T41="Between",IF(AND(I41&gt;=U41,I41&lt;=V41),"Pass","Fail"),IF(J41="","Not done yet",IF(T41="±%",IF(X41="","Check correct answer",IF(ABS(X41)*100&lt;=V41+1E-9,"Pass","Fail")),IF(T41="% range",IF(X41="","Check correct answer",IF(AND(X41*100&gt;=U41-1E-9,X41*100&lt;=V41+1E-9),"Pass","Fail")),IF(T41="±abs",IF(ABS(W41)&lt;=V41+1E-9,"Pass","Fail"),"Check type"))))))))))</f>
        <v/>
      </c>
    </row>
    <row r="42">
      <c r="A42" s="15" t="inlineStr">
        <is>
          <t>S3-035</t>
        </is>
      </c>
      <c r="B42" s="15" t="inlineStr">
        <is>
          <t>B</t>
        </is>
      </c>
      <c r="C42" s="15" t="inlineStr">
        <is>
          <t>Wind</t>
        </is>
      </c>
      <c r="D42" s="15" t="inlineStr">
        <is>
          <t>k2 at 50 m height</t>
        </is>
      </c>
      <c r="E42" s="15" t="inlineStr">
        <is>
          <t>—</t>
        </is>
      </c>
      <c r="F42" s="15" t="inlineStr">
        <is>
          <t>Book</t>
        </is>
      </c>
      <c r="G42" s="15" t="inlineStr">
        <is>
          <t>Table 2, interpolated between rows</t>
        </is>
      </c>
      <c r="H42" s="15" t="inlineStr">
        <is>
          <t>Within 1% of correct answer</t>
        </is>
      </c>
      <c r="I42" s="16" t="n"/>
      <c r="J42" s="16" t="n"/>
      <c r="K42" s="16" t="n"/>
      <c r="L42" s="25">
        <f>IF(X42="","",X42)</f>
        <v/>
      </c>
      <c r="M42" s="18">
        <f>IF(O42&lt;&gt;"",O42,Y42)</f>
        <v/>
      </c>
      <c r="N42" s="16" t="n"/>
      <c r="O42" s="19" t="n"/>
      <c r="P42" s="19" t="n"/>
      <c r="Q42" s="19" t="n"/>
      <c r="R42" s="20" t="inlineStr">
        <is>
          <t>IS 875 (Part 3):2015 Table 2</t>
        </is>
      </c>
      <c r="S42" s="20" t="inlineStr">
        <is>
          <t>IS 875-3:2015</t>
        </is>
      </c>
      <c r="T42" s="20" t="inlineStr">
        <is>
          <t>±%</t>
        </is>
      </c>
      <c r="U42" s="20" t="n"/>
      <c r="V42" s="20" t="n">
        <v>1</v>
      </c>
      <c r="W42" s="20">
        <f>IF(AND(ISNUMBER(I42),ISNUMBER(J42)),I42-J42,"")</f>
        <v/>
      </c>
      <c r="X42" s="20">
        <f>IF(AND(ISNUMBER(I42),ISNUMBER(J42)),IF(J42=0,"",(I42-J42)/ABS(J42)),"")</f>
        <v/>
      </c>
      <c r="Y42" s="20">
        <f>IF(T42="Advisory","No pass mark",IF(T42="Manual","Claude will check",IF(I42="","Not done yet",IF(T42="Exact",IF(AND(ISNUMBER(I42),ISNUMBER(J42)),IF(ROUND(I42,2)=ROUND(J42,2),"Pass","Fail"),IF(TRIM(LOWER(I42&amp;""))=TRIM(LOWER(J42&amp;"")),"Pass","Fail")),IF(T42="Min",IF(I42&gt;=U42-1E-9,"Pass","Fail"),IF(T42="Between",IF(AND(I42&gt;=U42,I42&lt;=V42),"Pass","Fail"),IF(J42="","Not done yet",IF(T42="±%",IF(X42="","Check correct answer",IF(ABS(X42)*100&lt;=V42+1E-9,"Pass","Fail")),IF(T42="% range",IF(X42="","Check correct answer",IF(AND(X42*100&gt;=U42-1E-9,X42*100&lt;=V42+1E-9),"Pass","Fail")),IF(T42="±abs",IF(ABS(W42)&lt;=V42+1E-9,"Pass","Fail"),"Check type"))))))))))</f>
        <v/>
      </c>
    </row>
    <row r="43">
      <c r="A43" s="15" t="inlineStr">
        <is>
          <t>S3-036</t>
        </is>
      </c>
      <c r="B43" s="15" t="inlineStr">
        <is>
          <t>B</t>
        </is>
      </c>
      <c r="C43" s="15" t="inlineStr">
        <is>
          <t>Wind</t>
        </is>
      </c>
      <c r="D43" s="15" t="inlineStr">
        <is>
          <t>k2 at 60 m height</t>
        </is>
      </c>
      <c r="E43" s="15" t="inlineStr">
        <is>
          <t>—</t>
        </is>
      </c>
      <c r="F43" s="15" t="inlineStr">
        <is>
          <t>Book</t>
        </is>
      </c>
      <c r="G43" s="15" t="inlineStr">
        <is>
          <t>Table 2, interpolated between rows</t>
        </is>
      </c>
      <c r="H43" s="15" t="inlineStr">
        <is>
          <t>Within 1% of correct answer</t>
        </is>
      </c>
      <c r="I43" s="16" t="n"/>
      <c r="J43" s="16" t="n"/>
      <c r="K43" s="16" t="n"/>
      <c r="L43" s="25">
        <f>IF(X43="","",X43)</f>
        <v/>
      </c>
      <c r="M43" s="18">
        <f>IF(O43&lt;&gt;"",O43,Y43)</f>
        <v/>
      </c>
      <c r="N43" s="16" t="n"/>
      <c r="O43" s="19" t="n"/>
      <c r="P43" s="19" t="n"/>
      <c r="Q43" s="19" t="n"/>
      <c r="R43" s="20" t="inlineStr">
        <is>
          <t>IS 875 (Part 3):2015 Table 2</t>
        </is>
      </c>
      <c r="S43" s="20" t="inlineStr">
        <is>
          <t>IS 875-3:2015</t>
        </is>
      </c>
      <c r="T43" s="20" t="inlineStr">
        <is>
          <t>±%</t>
        </is>
      </c>
      <c r="U43" s="20" t="n"/>
      <c r="V43" s="20" t="n">
        <v>1</v>
      </c>
      <c r="W43" s="20">
        <f>IF(AND(ISNUMBER(I43),ISNUMBER(J43)),I43-J43,"")</f>
        <v/>
      </c>
      <c r="X43" s="20">
        <f>IF(AND(ISNUMBER(I43),ISNUMBER(J43)),IF(J43=0,"",(I43-J43)/ABS(J43)),"")</f>
        <v/>
      </c>
      <c r="Y43" s="20">
        <f>IF(T43="Advisory","No pass mark",IF(T43="Manual","Claude will check",IF(I43="","Not done yet",IF(T43="Exact",IF(AND(ISNUMBER(I43),ISNUMBER(J43)),IF(ROUND(I43,2)=ROUND(J43,2),"Pass","Fail"),IF(TRIM(LOWER(I43&amp;""))=TRIM(LOWER(J43&amp;"")),"Pass","Fail")),IF(T43="Min",IF(I43&gt;=U43-1E-9,"Pass","Fail"),IF(T43="Between",IF(AND(I43&gt;=U43,I43&lt;=V43),"Pass","Fail"),IF(J43="","Not done yet",IF(T43="±%",IF(X43="","Check correct answer",IF(ABS(X43)*100&lt;=V43+1E-9,"Pass","Fail")),IF(T43="% range",IF(X43="","Check correct answer",IF(AND(X43*100&gt;=U43-1E-9,X43*100&lt;=V43+1E-9),"Pass","Fail")),IF(T43="±abs",IF(ABS(W43)&lt;=V43+1E-9,"Pass","Fail"),"Check type"))))))))))</f>
        <v/>
      </c>
    </row>
    <row r="44">
      <c r="A44" s="15" t="inlineStr">
        <is>
          <t>S3-037</t>
        </is>
      </c>
      <c r="B44" s="15" t="inlineStr">
        <is>
          <t>B</t>
        </is>
      </c>
      <c r="C44" s="15" t="inlineStr">
        <is>
          <t>Wind</t>
        </is>
      </c>
      <c r="D44" s="15" t="inlineStr">
        <is>
          <t>k2 at 80 m height</t>
        </is>
      </c>
      <c r="E44" s="15" t="inlineStr">
        <is>
          <t>—</t>
        </is>
      </c>
      <c r="F44" s="15" t="inlineStr">
        <is>
          <t>Book</t>
        </is>
      </c>
      <c r="G44" s="15" t="inlineStr">
        <is>
          <t>Table 2, interpolated between rows</t>
        </is>
      </c>
      <c r="H44" s="15" t="inlineStr">
        <is>
          <t>Within 1% of correct answer</t>
        </is>
      </c>
      <c r="I44" s="16" t="n"/>
      <c r="J44" s="16" t="n"/>
      <c r="K44" s="16" t="n"/>
      <c r="L44" s="25">
        <f>IF(X44="","",X44)</f>
        <v/>
      </c>
      <c r="M44" s="18">
        <f>IF(O44&lt;&gt;"",O44,Y44)</f>
        <v/>
      </c>
      <c r="N44" s="16" t="n"/>
      <c r="O44" s="19" t="n"/>
      <c r="P44" s="19" t="n"/>
      <c r="Q44" s="19" t="n"/>
      <c r="R44" s="20" t="inlineStr">
        <is>
          <t>IS 875 (Part 3):2015 Table 2</t>
        </is>
      </c>
      <c r="S44" s="20" t="inlineStr">
        <is>
          <t>IS 875-3:2015</t>
        </is>
      </c>
      <c r="T44" s="20" t="inlineStr">
        <is>
          <t>±%</t>
        </is>
      </c>
      <c r="U44" s="20" t="n"/>
      <c r="V44" s="20" t="n">
        <v>1</v>
      </c>
      <c r="W44" s="20">
        <f>IF(AND(ISNUMBER(I44),ISNUMBER(J44)),I44-J44,"")</f>
        <v/>
      </c>
      <c r="X44" s="20">
        <f>IF(AND(ISNUMBER(I44),ISNUMBER(J44)),IF(J44=0,"",(I44-J44)/ABS(J44)),"")</f>
        <v/>
      </c>
      <c r="Y44" s="20">
        <f>IF(T44="Advisory","No pass mark",IF(T44="Manual","Claude will check",IF(I44="","Not done yet",IF(T44="Exact",IF(AND(ISNUMBER(I44),ISNUMBER(J44)),IF(ROUND(I44,2)=ROUND(J44,2),"Pass","Fail"),IF(TRIM(LOWER(I44&amp;""))=TRIM(LOWER(J44&amp;"")),"Pass","Fail")),IF(T44="Min",IF(I44&gt;=U44-1E-9,"Pass","Fail"),IF(T44="Between",IF(AND(I44&gt;=U44,I44&lt;=V44),"Pass","Fail"),IF(J44="","Not done yet",IF(T44="±%",IF(X44="","Check correct answer",IF(ABS(X44)*100&lt;=V44+1E-9,"Pass","Fail")),IF(T44="% range",IF(X44="","Check correct answer",IF(AND(X44*100&gt;=U44-1E-9,X44*100&lt;=V44+1E-9),"Pass","Fail")),IF(T44="±abs",IF(ABS(W44)&lt;=V44+1E-9,"Pass","Fail"),"Check type"))))))))))</f>
        <v/>
      </c>
    </row>
    <row r="45">
      <c r="A45" s="15" t="inlineStr">
        <is>
          <t>S3-038</t>
        </is>
      </c>
      <c r="B45" s="15" t="inlineStr">
        <is>
          <t>B</t>
        </is>
      </c>
      <c r="C45" s="15" t="inlineStr">
        <is>
          <t>Wind</t>
        </is>
      </c>
      <c r="D45" s="15" t="inlineStr">
        <is>
          <t>Bengaluru tower 1: design wind pressure pz (Vb = 33 m/s)</t>
        </is>
      </c>
      <c r="E45" s="15" t="inlineStr">
        <is>
          <t>kN/m²</t>
        </is>
      </c>
      <c r="F45" s="15" t="inlineStr">
        <is>
          <t>Real</t>
        </is>
      </c>
      <c r="G45" s="15" t="inlineStr">
        <is>
          <t>Hand calculation</t>
        </is>
      </c>
      <c r="H45" s="15" t="inlineStr">
        <is>
          <t>Within 1% of correct answer</t>
        </is>
      </c>
      <c r="I45" s="16" t="n"/>
      <c r="J45" s="16" t="n"/>
      <c r="K45" s="16" t="n"/>
      <c r="L45" s="25">
        <f>IF(X45="","",X45)</f>
        <v/>
      </c>
      <c r="M45" s="18">
        <f>IF(O45&lt;&gt;"",O45,Y45)</f>
        <v/>
      </c>
      <c r="N45" s="16" t="n"/>
      <c r="O45" s="19" t="n"/>
      <c r="P45" s="19" t="n"/>
      <c r="Q45" s="19" t="n"/>
      <c r="R45" s="20" t="inlineStr">
        <is>
          <t>IS 875 (Part 3):2015</t>
        </is>
      </c>
      <c r="S45" s="20" t="inlineStr">
        <is>
          <t>IS 875-3:2015</t>
        </is>
      </c>
      <c r="T45" s="20" t="inlineStr">
        <is>
          <t>±%</t>
        </is>
      </c>
      <c r="U45" s="20" t="n"/>
      <c r="V45" s="20" t="n">
        <v>1</v>
      </c>
      <c r="W45" s="20">
        <f>IF(AND(ISNUMBER(I45),ISNUMBER(J45)),I45-J45,"")</f>
        <v/>
      </c>
      <c r="X45" s="20">
        <f>IF(AND(ISNUMBER(I45),ISNUMBER(J45)),IF(J45=0,"",(I45-J45)/ABS(J45)),"")</f>
        <v/>
      </c>
      <c r="Y45" s="20">
        <f>IF(T45="Advisory","No pass mark",IF(T45="Manual","Claude will check",IF(I45="","Not done yet",IF(T45="Exact",IF(AND(ISNUMBER(I45),ISNUMBER(J45)),IF(ROUND(I45,2)=ROUND(J45,2),"Pass","Fail"),IF(TRIM(LOWER(I45&amp;""))=TRIM(LOWER(J45&amp;"")),"Pass","Fail")),IF(T45="Min",IF(I45&gt;=U45-1E-9,"Pass","Fail"),IF(T45="Between",IF(AND(I45&gt;=U45,I45&lt;=V45),"Pass","Fail"),IF(J45="","Not done yet",IF(T45="±%",IF(X45="","Check correct answer",IF(ABS(X45)*100&lt;=V45+1E-9,"Pass","Fail")),IF(T45="% range",IF(X45="","Check correct answer",IF(AND(X45*100&gt;=U45-1E-9,X45*100&lt;=V45+1E-9),"Pass","Fail")),IF(T45="±abs",IF(ABS(W45)&lt;=V45+1E-9,"Pass","Fail"),"Check type"))))))))))</f>
        <v/>
      </c>
    </row>
    <row r="46">
      <c r="A46" s="15" t="inlineStr">
        <is>
          <t>S3-039</t>
        </is>
      </c>
      <c r="B46" s="15" t="inlineStr">
        <is>
          <t>B</t>
        </is>
      </c>
      <c r="C46" s="15" t="inlineStr">
        <is>
          <t>Wind</t>
        </is>
      </c>
      <c r="D46" s="15" t="inlineStr">
        <is>
          <t>Bengaluru tower 2: design wind pressure pz (Vb = 33 m/s)</t>
        </is>
      </c>
      <c r="E46" s="15" t="inlineStr">
        <is>
          <t>kN/m²</t>
        </is>
      </c>
      <c r="F46" s="15" t="inlineStr">
        <is>
          <t>Real</t>
        </is>
      </c>
      <c r="G46" s="15" t="inlineStr">
        <is>
          <t>Hand calculation</t>
        </is>
      </c>
      <c r="H46" s="15" t="inlineStr">
        <is>
          <t>Within 1% of correct answer</t>
        </is>
      </c>
      <c r="I46" s="16" t="n"/>
      <c r="J46" s="16" t="n"/>
      <c r="K46" s="16" t="n"/>
      <c r="L46" s="25">
        <f>IF(X46="","",X46)</f>
        <v/>
      </c>
      <c r="M46" s="18">
        <f>IF(O46&lt;&gt;"",O46,Y46)</f>
        <v/>
      </c>
      <c r="N46" s="16" t="n"/>
      <c r="O46" s="19" t="n"/>
      <c r="P46" s="19" t="n"/>
      <c r="Q46" s="19" t="n"/>
      <c r="R46" s="20" t="inlineStr">
        <is>
          <t>IS 875 (Part 3):2015</t>
        </is>
      </c>
      <c r="S46" s="20" t="inlineStr">
        <is>
          <t>IS 875-3:2015</t>
        </is>
      </c>
      <c r="T46" s="20" t="inlineStr">
        <is>
          <t>±%</t>
        </is>
      </c>
      <c r="U46" s="20" t="n"/>
      <c r="V46" s="20" t="n">
        <v>1</v>
      </c>
      <c r="W46" s="20">
        <f>IF(AND(ISNUMBER(I46),ISNUMBER(J46)),I46-J46,"")</f>
        <v/>
      </c>
      <c r="X46" s="20">
        <f>IF(AND(ISNUMBER(I46),ISNUMBER(J46)),IF(J46=0,"",(I46-J46)/ABS(J46)),"")</f>
        <v/>
      </c>
      <c r="Y46" s="20">
        <f>IF(T46="Advisory","No pass mark",IF(T46="Manual","Claude will check",IF(I46="","Not done yet",IF(T46="Exact",IF(AND(ISNUMBER(I46),ISNUMBER(J46)),IF(ROUND(I46,2)=ROUND(J46,2),"Pass","Fail"),IF(TRIM(LOWER(I46&amp;""))=TRIM(LOWER(J46&amp;"")),"Pass","Fail")),IF(T46="Min",IF(I46&gt;=U46-1E-9,"Pass","Fail"),IF(T46="Between",IF(AND(I46&gt;=U46,I46&lt;=V46),"Pass","Fail"),IF(J46="","Not done yet",IF(T46="±%",IF(X46="","Check correct answer",IF(ABS(X46)*100&lt;=V46+1E-9,"Pass","Fail")),IF(T46="% range",IF(X46="","Check correct answer",IF(AND(X46*100&gt;=U46-1E-9,X46*100&lt;=V46+1E-9),"Pass","Fail")),IF(T46="±abs",IF(ABS(W46)&lt;=V46+1E-9,"Pass","Fail"),"Check type"))))))))))</f>
        <v/>
      </c>
    </row>
    <row r="47">
      <c r="A47" s="15" t="inlineStr">
        <is>
          <t>S3-040</t>
        </is>
      </c>
      <c r="B47" s="15" t="inlineStr">
        <is>
          <t>B</t>
        </is>
      </c>
      <c r="C47" s="15" t="inlineStr">
        <is>
          <t>Column and beam sizing</t>
        </is>
      </c>
      <c r="D47" s="15" t="inlineStr">
        <is>
          <t>SP 16 chart point 1: column size</t>
        </is>
      </c>
      <c r="E47" s="15" t="inlineStr">
        <is>
          <t>mm</t>
        </is>
      </c>
      <c r="F47" s="15" t="inlineStr">
        <is>
          <t>Book</t>
        </is>
      </c>
      <c r="G47" s="15" t="inlineStr">
        <is>
          <t>SP 16 design chart</t>
        </is>
      </c>
      <c r="H47" s="15" t="inlineStr">
        <is>
          <t>Within ±50 mm</t>
        </is>
      </c>
      <c r="I47" s="16" t="n"/>
      <c r="J47" s="16" t="n"/>
      <c r="K47" s="16" t="n"/>
      <c r="L47" s="17">
        <f>IF(W47="","",W47)</f>
        <v/>
      </c>
      <c r="M47" s="18">
        <f>IF(O47&lt;&gt;"",O47,Y47)</f>
        <v/>
      </c>
      <c r="N47" s="16" t="n"/>
      <c r="O47" s="19" t="n"/>
      <c r="P47" s="19" t="n"/>
      <c r="Q47" s="19" t="n"/>
      <c r="R47" s="20" t="inlineStr">
        <is>
          <t>IS 456:2000; SP 16</t>
        </is>
      </c>
      <c r="S47" s="20" t="inlineStr">
        <is>
          <t>IS 456:2000</t>
        </is>
      </c>
      <c r="T47" s="20" t="inlineStr">
        <is>
          <t>±abs</t>
        </is>
      </c>
      <c r="U47" s="20" t="n"/>
      <c r="V47" s="20" t="n">
        <v>50</v>
      </c>
      <c r="W47" s="20">
        <f>IF(AND(ISNUMBER(I47),ISNUMBER(J47)),I47-J47,"")</f>
        <v/>
      </c>
      <c r="X47" s="20">
        <f>IF(AND(ISNUMBER(I47),ISNUMBER(J47)),IF(J47=0,"",(I47-J47)/ABS(J47)),"")</f>
        <v/>
      </c>
      <c r="Y47" s="20">
        <f>IF(T47="Advisory","No pass mark",IF(T47="Manual","Claude will check",IF(I47="","Not done yet",IF(T47="Exact",IF(AND(ISNUMBER(I47),ISNUMBER(J47)),IF(ROUND(I47,2)=ROUND(J47,2),"Pass","Fail"),IF(TRIM(LOWER(I47&amp;""))=TRIM(LOWER(J47&amp;"")),"Pass","Fail")),IF(T47="Min",IF(I47&gt;=U47-1E-9,"Pass","Fail"),IF(T47="Between",IF(AND(I47&gt;=U47,I47&lt;=V47),"Pass","Fail"),IF(J47="","Not done yet",IF(T47="±%",IF(X47="","Check correct answer",IF(ABS(X47)*100&lt;=V47+1E-9,"Pass","Fail")),IF(T47="% range",IF(X47="","Check correct answer",IF(AND(X47*100&gt;=U47-1E-9,X47*100&lt;=V47+1E-9),"Pass","Fail")),IF(T47="±abs",IF(ABS(W47)&lt;=V47+1E-9,"Pass","Fail"),"Check type"))))))))))</f>
        <v/>
      </c>
    </row>
    <row r="48">
      <c r="A48" s="15" t="inlineStr">
        <is>
          <t>S3-041</t>
        </is>
      </c>
      <c r="B48" s="15" t="inlineStr">
        <is>
          <t>B</t>
        </is>
      </c>
      <c r="C48" s="15" t="inlineStr">
        <is>
          <t>Column and beam sizing</t>
        </is>
      </c>
      <c r="D48" s="15" t="inlineStr">
        <is>
          <t>SP 16 chart point 2: column size</t>
        </is>
      </c>
      <c r="E48" s="15" t="inlineStr">
        <is>
          <t>mm</t>
        </is>
      </c>
      <c r="F48" s="15" t="inlineStr">
        <is>
          <t>Book</t>
        </is>
      </c>
      <c r="G48" s="15" t="inlineStr">
        <is>
          <t>SP 16 design chart</t>
        </is>
      </c>
      <c r="H48" s="15" t="inlineStr">
        <is>
          <t>Within ±50 mm</t>
        </is>
      </c>
      <c r="I48" s="16" t="n"/>
      <c r="J48" s="16" t="n"/>
      <c r="K48" s="16" t="n"/>
      <c r="L48" s="17">
        <f>IF(W48="","",W48)</f>
        <v/>
      </c>
      <c r="M48" s="18">
        <f>IF(O48&lt;&gt;"",O48,Y48)</f>
        <v/>
      </c>
      <c r="N48" s="16" t="n"/>
      <c r="O48" s="19" t="n"/>
      <c r="P48" s="19" t="n"/>
      <c r="Q48" s="19" t="n"/>
      <c r="R48" s="20" t="inlineStr">
        <is>
          <t>IS 456:2000; SP 16</t>
        </is>
      </c>
      <c r="S48" s="20" t="inlineStr">
        <is>
          <t>IS 456:2000</t>
        </is>
      </c>
      <c r="T48" s="20" t="inlineStr">
        <is>
          <t>±abs</t>
        </is>
      </c>
      <c r="U48" s="20" t="n"/>
      <c r="V48" s="20" t="n">
        <v>50</v>
      </c>
      <c r="W48" s="20">
        <f>IF(AND(ISNUMBER(I48),ISNUMBER(J48)),I48-J48,"")</f>
        <v/>
      </c>
      <c r="X48" s="20">
        <f>IF(AND(ISNUMBER(I48),ISNUMBER(J48)),IF(J48=0,"",(I48-J48)/ABS(J48)),"")</f>
        <v/>
      </c>
      <c r="Y48" s="20">
        <f>IF(T48="Advisory","No pass mark",IF(T48="Manual","Claude will check",IF(I48="","Not done yet",IF(T48="Exact",IF(AND(ISNUMBER(I48),ISNUMBER(J48)),IF(ROUND(I48,2)=ROUND(J48,2),"Pass","Fail"),IF(TRIM(LOWER(I48&amp;""))=TRIM(LOWER(J48&amp;"")),"Pass","Fail")),IF(T48="Min",IF(I48&gt;=U48-1E-9,"Pass","Fail"),IF(T48="Between",IF(AND(I48&gt;=U48,I48&lt;=V48),"Pass","Fail"),IF(J48="","Not done yet",IF(T48="±%",IF(X48="","Check correct answer",IF(ABS(X48)*100&lt;=V48+1E-9,"Pass","Fail")),IF(T48="% range",IF(X48="","Check correct answer",IF(AND(X48*100&gt;=U48-1E-9,X48*100&lt;=V48+1E-9),"Pass","Fail")),IF(T48="±abs",IF(ABS(W48)&lt;=V48+1E-9,"Pass","Fail"),"Check type"))))))))))</f>
        <v/>
      </c>
    </row>
    <row r="49">
      <c r="A49" s="15" t="inlineStr">
        <is>
          <t>S3-042</t>
        </is>
      </c>
      <c r="B49" s="15" t="inlineStr">
        <is>
          <t>B</t>
        </is>
      </c>
      <c r="C49" s="15" t="inlineStr">
        <is>
          <t>Column and beam sizing</t>
        </is>
      </c>
      <c r="D49" s="15" t="inlineStr">
        <is>
          <t>SP 16 chart point 3: column size</t>
        </is>
      </c>
      <c r="E49" s="15" t="inlineStr">
        <is>
          <t>mm</t>
        </is>
      </c>
      <c r="F49" s="15" t="inlineStr">
        <is>
          <t>Book</t>
        </is>
      </c>
      <c r="G49" s="15" t="inlineStr">
        <is>
          <t>SP 16 design chart</t>
        </is>
      </c>
      <c r="H49" s="15" t="inlineStr">
        <is>
          <t>Within ±50 mm</t>
        </is>
      </c>
      <c r="I49" s="16" t="n"/>
      <c r="J49" s="16" t="n"/>
      <c r="K49" s="16" t="n"/>
      <c r="L49" s="17">
        <f>IF(W49="","",W49)</f>
        <v/>
      </c>
      <c r="M49" s="18">
        <f>IF(O49&lt;&gt;"",O49,Y49)</f>
        <v/>
      </c>
      <c r="N49" s="16" t="n"/>
      <c r="O49" s="19" t="n"/>
      <c r="P49" s="19" t="n"/>
      <c r="Q49" s="19" t="n"/>
      <c r="R49" s="20" t="inlineStr">
        <is>
          <t>IS 456:2000; SP 16</t>
        </is>
      </c>
      <c r="S49" s="20" t="inlineStr">
        <is>
          <t>IS 456:2000</t>
        </is>
      </c>
      <c r="T49" s="20" t="inlineStr">
        <is>
          <t>±abs</t>
        </is>
      </c>
      <c r="U49" s="20" t="n"/>
      <c r="V49" s="20" t="n">
        <v>50</v>
      </c>
      <c r="W49" s="20">
        <f>IF(AND(ISNUMBER(I49),ISNUMBER(J49)),I49-J49,"")</f>
        <v/>
      </c>
      <c r="X49" s="20">
        <f>IF(AND(ISNUMBER(I49),ISNUMBER(J49)),IF(J49=0,"",(I49-J49)/ABS(J49)),"")</f>
        <v/>
      </c>
      <c r="Y49" s="20">
        <f>IF(T49="Advisory","No pass mark",IF(T49="Manual","Claude will check",IF(I49="","Not done yet",IF(T49="Exact",IF(AND(ISNUMBER(I49),ISNUMBER(J49)),IF(ROUND(I49,2)=ROUND(J49,2),"Pass","Fail"),IF(TRIM(LOWER(I49&amp;""))=TRIM(LOWER(J49&amp;"")),"Pass","Fail")),IF(T49="Min",IF(I49&gt;=U49-1E-9,"Pass","Fail"),IF(T49="Between",IF(AND(I49&gt;=U49,I49&lt;=V49),"Pass","Fail"),IF(J49="","Not done yet",IF(T49="±%",IF(X49="","Check correct answer",IF(ABS(X49)*100&lt;=V49+1E-9,"Pass","Fail")),IF(T49="% range",IF(X49="","Check correct answer",IF(AND(X49*100&gt;=U49-1E-9,X49*100&lt;=V49+1E-9),"Pass","Fail")),IF(T49="±abs",IF(ABS(W49)&lt;=V49+1E-9,"Pass","Fail"),"Check type"))))))))))</f>
        <v/>
      </c>
    </row>
    <row r="50">
      <c r="A50" s="15" t="inlineStr">
        <is>
          <t>S3-043</t>
        </is>
      </c>
      <c r="B50" s="15" t="inlineStr">
        <is>
          <t>B</t>
        </is>
      </c>
      <c r="C50" s="15" t="inlineStr">
        <is>
          <t>Column and beam sizing</t>
        </is>
      </c>
      <c r="D50" s="15" t="inlineStr">
        <is>
          <t>SP 16 chart point 4: column size</t>
        </is>
      </c>
      <c r="E50" s="15" t="inlineStr">
        <is>
          <t>mm</t>
        </is>
      </c>
      <c r="F50" s="15" t="inlineStr">
        <is>
          <t>Book</t>
        </is>
      </c>
      <c r="G50" s="15" t="inlineStr">
        <is>
          <t>SP 16 design chart</t>
        </is>
      </c>
      <c r="H50" s="15" t="inlineStr">
        <is>
          <t>Within ±50 mm</t>
        </is>
      </c>
      <c r="I50" s="16" t="n"/>
      <c r="J50" s="16" t="n"/>
      <c r="K50" s="16" t="n"/>
      <c r="L50" s="17">
        <f>IF(W50="","",W50)</f>
        <v/>
      </c>
      <c r="M50" s="18">
        <f>IF(O50&lt;&gt;"",O50,Y50)</f>
        <v/>
      </c>
      <c r="N50" s="16" t="n"/>
      <c r="O50" s="19" t="n"/>
      <c r="P50" s="19" t="n"/>
      <c r="Q50" s="19" t="n"/>
      <c r="R50" s="20" t="inlineStr">
        <is>
          <t>IS 456:2000; SP 16</t>
        </is>
      </c>
      <c r="S50" s="20" t="inlineStr">
        <is>
          <t>IS 456:2000</t>
        </is>
      </c>
      <c r="T50" s="20" t="inlineStr">
        <is>
          <t>±abs</t>
        </is>
      </c>
      <c r="U50" s="20" t="n"/>
      <c r="V50" s="20" t="n">
        <v>50</v>
      </c>
      <c r="W50" s="20">
        <f>IF(AND(ISNUMBER(I50),ISNUMBER(J50)),I50-J50,"")</f>
        <v/>
      </c>
      <c r="X50" s="20">
        <f>IF(AND(ISNUMBER(I50),ISNUMBER(J50)),IF(J50=0,"",(I50-J50)/ABS(J50)),"")</f>
        <v/>
      </c>
      <c r="Y50" s="20">
        <f>IF(T50="Advisory","No pass mark",IF(T50="Manual","Claude will check",IF(I50="","Not done yet",IF(T50="Exact",IF(AND(ISNUMBER(I50),ISNUMBER(J50)),IF(ROUND(I50,2)=ROUND(J50,2),"Pass","Fail"),IF(TRIM(LOWER(I50&amp;""))=TRIM(LOWER(J50&amp;"")),"Pass","Fail")),IF(T50="Min",IF(I50&gt;=U50-1E-9,"Pass","Fail"),IF(T50="Between",IF(AND(I50&gt;=U50,I50&lt;=V50),"Pass","Fail"),IF(J50="","Not done yet",IF(T50="±%",IF(X50="","Check correct answer",IF(ABS(X50)*100&lt;=V50+1E-9,"Pass","Fail")),IF(T50="% range",IF(X50="","Check correct answer",IF(AND(X50*100&gt;=U50-1E-9,X50*100&lt;=V50+1E-9),"Pass","Fail")),IF(T50="±abs",IF(ABS(W50)&lt;=V50+1E-9,"Pass","Fail"),"Check type"))))))))))</f>
        <v/>
      </c>
    </row>
    <row r="51">
      <c r="A51" s="15" t="inlineStr">
        <is>
          <t>S3-044</t>
        </is>
      </c>
      <c r="B51" s="15" t="inlineStr">
        <is>
          <t>B</t>
        </is>
      </c>
      <c r="C51" s="15" t="inlineStr">
        <is>
          <t>Column and beam sizing</t>
        </is>
      </c>
      <c r="D51" s="15" t="inlineStr">
        <is>
          <t>SP 16 chart point 5: column size</t>
        </is>
      </c>
      <c r="E51" s="15" t="inlineStr">
        <is>
          <t>mm</t>
        </is>
      </c>
      <c r="F51" s="15" t="inlineStr">
        <is>
          <t>Book</t>
        </is>
      </c>
      <c r="G51" s="15" t="inlineStr">
        <is>
          <t>SP 16 design chart</t>
        </is>
      </c>
      <c r="H51" s="15" t="inlineStr">
        <is>
          <t>Within ±50 mm</t>
        </is>
      </c>
      <c r="I51" s="16" t="n"/>
      <c r="J51" s="16" t="n"/>
      <c r="K51" s="16" t="n"/>
      <c r="L51" s="17">
        <f>IF(W51="","",W51)</f>
        <v/>
      </c>
      <c r="M51" s="18">
        <f>IF(O51&lt;&gt;"",O51,Y51)</f>
        <v/>
      </c>
      <c r="N51" s="16" t="n"/>
      <c r="O51" s="19" t="n"/>
      <c r="P51" s="19" t="n"/>
      <c r="Q51" s="19" t="n"/>
      <c r="R51" s="20" t="inlineStr">
        <is>
          <t>IS 456:2000; SP 16</t>
        </is>
      </c>
      <c r="S51" s="20" t="inlineStr">
        <is>
          <t>IS 456:2000</t>
        </is>
      </c>
      <c r="T51" s="20" t="inlineStr">
        <is>
          <t>±abs</t>
        </is>
      </c>
      <c r="U51" s="20" t="n"/>
      <c r="V51" s="20" t="n">
        <v>50</v>
      </c>
      <c r="W51" s="20">
        <f>IF(AND(ISNUMBER(I51),ISNUMBER(J51)),I51-J51,"")</f>
        <v/>
      </c>
      <c r="X51" s="20">
        <f>IF(AND(ISNUMBER(I51),ISNUMBER(J51)),IF(J51=0,"",(I51-J51)/ABS(J51)),"")</f>
        <v/>
      </c>
      <c r="Y51" s="20">
        <f>IF(T51="Advisory","No pass mark",IF(T51="Manual","Claude will check",IF(I51="","Not done yet",IF(T51="Exact",IF(AND(ISNUMBER(I51),ISNUMBER(J51)),IF(ROUND(I51,2)=ROUND(J51,2),"Pass","Fail"),IF(TRIM(LOWER(I51&amp;""))=TRIM(LOWER(J51&amp;"")),"Pass","Fail")),IF(T51="Min",IF(I51&gt;=U51-1E-9,"Pass","Fail"),IF(T51="Between",IF(AND(I51&gt;=U51,I51&lt;=V51),"Pass","Fail"),IF(J51="","Not done yet",IF(T51="±%",IF(X51="","Check correct answer",IF(ABS(X51)*100&lt;=V51+1E-9,"Pass","Fail")),IF(T51="% range",IF(X51="","Check correct answer",IF(AND(X51*100&gt;=U51-1E-9,X51*100&lt;=V51+1E-9),"Pass","Fail")),IF(T51="±abs",IF(ABS(W51)&lt;=V51+1E-9,"Pass","Fail"),"Check type"))))))))))</f>
        <v/>
      </c>
    </row>
    <row r="52">
      <c r="A52" s="15" t="inlineStr">
        <is>
          <t>S3-045</t>
        </is>
      </c>
      <c r="B52" s="15" t="inlineStr">
        <is>
          <t>B</t>
        </is>
      </c>
      <c r="C52" s="15" t="inlineStr">
        <is>
          <t>Column and beam sizing</t>
        </is>
      </c>
      <c r="D52" s="15" t="inlineStr">
        <is>
          <t>IITK-GSDMA EQ22: member size</t>
        </is>
      </c>
      <c r="E52" s="15" t="inlineStr">
        <is>
          <t>mm</t>
        </is>
      </c>
      <c r="F52" s="15" t="inlineStr">
        <is>
          <t>Real</t>
        </is>
      </c>
      <c r="G52" s="15" t="inlineStr">
        <is>
          <t>IITK-GSDMA EQ22</t>
        </is>
      </c>
      <c r="H52" s="15" t="inlineStr">
        <is>
          <t>Within ±50 mm</t>
        </is>
      </c>
      <c r="I52" s="16" t="n"/>
      <c r="J52" s="16" t="n"/>
      <c r="K52" s="16" t="n"/>
      <c r="L52" s="17">
        <f>IF(W52="","",W52)</f>
        <v/>
      </c>
      <c r="M52" s="18">
        <f>IF(O52&lt;&gt;"",O52,Y52)</f>
        <v/>
      </c>
      <c r="N52" s="16" t="n"/>
      <c r="O52" s="19" t="n"/>
      <c r="P52" s="19" t="n"/>
      <c r="Q52" s="19" t="n"/>
      <c r="R52" s="20" t="inlineStr">
        <is>
          <t>IS 456:2000</t>
        </is>
      </c>
      <c r="S52" s="20" t="inlineStr">
        <is>
          <t>IS 456:2000</t>
        </is>
      </c>
      <c r="T52" s="20" t="inlineStr">
        <is>
          <t>±abs</t>
        </is>
      </c>
      <c r="U52" s="20" t="n"/>
      <c r="V52" s="20" t="n">
        <v>50</v>
      </c>
      <c r="W52" s="20">
        <f>IF(AND(ISNUMBER(I52),ISNUMBER(J52)),I52-J52,"")</f>
        <v/>
      </c>
      <c r="X52" s="20">
        <f>IF(AND(ISNUMBER(I52),ISNUMBER(J52)),IF(J52=0,"",(I52-J52)/ABS(J52)),"")</f>
        <v/>
      </c>
      <c r="Y52" s="20">
        <f>IF(T52="Advisory","No pass mark",IF(T52="Manual","Claude will check",IF(I52="","Not done yet",IF(T52="Exact",IF(AND(ISNUMBER(I52),ISNUMBER(J52)),IF(ROUND(I52,2)=ROUND(J52,2),"Pass","Fail"),IF(TRIM(LOWER(I52&amp;""))=TRIM(LOWER(J52&amp;"")),"Pass","Fail")),IF(T52="Min",IF(I52&gt;=U52-1E-9,"Pass","Fail"),IF(T52="Between",IF(AND(I52&gt;=U52,I52&lt;=V52),"Pass","Fail"),IF(J52="","Not done yet",IF(T52="±%",IF(X52="","Check correct answer",IF(ABS(X52)*100&lt;=V52+1E-9,"Pass","Fail")),IF(T52="% range",IF(X52="","Check correct answer",IF(AND(X52*100&gt;=U52-1E-9,X52*100&lt;=V52+1E-9),"Pass","Fail")),IF(T52="±abs",IF(ABS(W52)&lt;=V52+1E-9,"Pass","Fail"),"Check type"))))))))))</f>
        <v/>
      </c>
    </row>
    <row r="53">
      <c r="A53" s="15" t="inlineStr">
        <is>
          <t>S3-046</t>
        </is>
      </c>
      <c r="B53" s="15" t="inlineStr">
        <is>
          <t>B</t>
        </is>
      </c>
      <c r="C53" s="15" t="inlineStr">
        <is>
          <t>Column and beam sizing</t>
        </is>
      </c>
      <c r="D53" s="15" t="inlineStr">
        <is>
          <t>IITK-GSDMA EQ26: member size</t>
        </is>
      </c>
      <c r="E53" s="15" t="inlineStr">
        <is>
          <t>mm</t>
        </is>
      </c>
      <c r="F53" s="15" t="inlineStr">
        <is>
          <t>Real</t>
        </is>
      </c>
      <c r="G53" s="15" t="inlineStr">
        <is>
          <t>IITK-GSDMA EQ26</t>
        </is>
      </c>
      <c r="H53" s="15" t="inlineStr">
        <is>
          <t>Within ±50 mm</t>
        </is>
      </c>
      <c r="I53" s="16" t="n"/>
      <c r="J53" s="16" t="n"/>
      <c r="K53" s="16" t="n"/>
      <c r="L53" s="17">
        <f>IF(W53="","",W53)</f>
        <v/>
      </c>
      <c r="M53" s="18">
        <f>IF(O53&lt;&gt;"",O53,Y53)</f>
        <v/>
      </c>
      <c r="N53" s="16" t="n"/>
      <c r="O53" s="19" t="n"/>
      <c r="P53" s="19" t="n"/>
      <c r="Q53" s="19" t="n"/>
      <c r="R53" s="20" t="inlineStr">
        <is>
          <t>IS 456:2000</t>
        </is>
      </c>
      <c r="S53" s="20" t="inlineStr">
        <is>
          <t>IS 456:2000</t>
        </is>
      </c>
      <c r="T53" s="20" t="inlineStr">
        <is>
          <t>±abs</t>
        </is>
      </c>
      <c r="U53" s="20" t="n"/>
      <c r="V53" s="20" t="n">
        <v>50</v>
      </c>
      <c r="W53" s="20">
        <f>IF(AND(ISNUMBER(I53),ISNUMBER(J53)),I53-J53,"")</f>
        <v/>
      </c>
      <c r="X53" s="20">
        <f>IF(AND(ISNUMBER(I53),ISNUMBER(J53)),IF(J53=0,"",(I53-J53)/ABS(J53)),"")</f>
        <v/>
      </c>
      <c r="Y53" s="20">
        <f>IF(T53="Advisory","No pass mark",IF(T53="Manual","Claude will check",IF(I53="","Not done yet",IF(T53="Exact",IF(AND(ISNUMBER(I53),ISNUMBER(J53)),IF(ROUND(I53,2)=ROUND(J53,2),"Pass","Fail"),IF(TRIM(LOWER(I53&amp;""))=TRIM(LOWER(J53&amp;"")),"Pass","Fail")),IF(T53="Min",IF(I53&gt;=U53-1E-9,"Pass","Fail"),IF(T53="Between",IF(AND(I53&gt;=U53,I53&lt;=V53),"Pass","Fail"),IF(J53="","Not done yet",IF(T53="±%",IF(X53="","Check correct answer",IF(ABS(X53)*100&lt;=V53+1E-9,"Pass","Fail")),IF(T53="% range",IF(X53="","Check correct answer",IF(AND(X53*100&gt;=U53-1E-9,X53*100&lt;=V53+1E-9),"Pass","Fail")),IF(T53="±abs",IF(ABS(W53)&lt;=V53+1E-9,"Pass","Fail"),"Check type"))))))))))</f>
        <v/>
      </c>
    </row>
    <row r="54">
      <c r="A54" s="15" t="inlineStr">
        <is>
          <t>S3-047</t>
        </is>
      </c>
      <c r="B54" s="15" t="inlineStr">
        <is>
          <t>B</t>
        </is>
      </c>
      <c r="C54" s="15" t="inlineStr">
        <is>
          <t>Foundation</t>
        </is>
      </c>
      <c r="D54" s="15" t="inlineStr">
        <is>
          <t>Textbook example 1: footing size</t>
        </is>
      </c>
      <c r="E54" s="15" t="inlineStr">
        <is>
          <t>m</t>
        </is>
      </c>
      <c r="F54" s="15" t="inlineStr">
        <is>
          <t>Book</t>
        </is>
      </c>
      <c r="G54" s="15" t="inlineStr">
        <is>
          <t>Punmia or NPTEL solved example</t>
        </is>
      </c>
      <c r="H54" s="15" t="inlineStr">
        <is>
          <t>Within 2% of correct answer</t>
        </is>
      </c>
      <c r="I54" s="16" t="n"/>
      <c r="J54" s="16" t="n"/>
      <c r="K54" s="16" t="n"/>
      <c r="L54" s="25">
        <f>IF(X54="","",X54)</f>
        <v/>
      </c>
      <c r="M54" s="18">
        <f>IF(O54&lt;&gt;"",O54,Y54)</f>
        <v/>
      </c>
      <c r="N54" s="16" t="n"/>
      <c r="O54" s="19" t="n"/>
      <c r="P54" s="19" t="n"/>
      <c r="Q54" s="19" t="n"/>
      <c r="R54" s="20" t="inlineStr">
        <is>
          <t>IS 1904 / IS 456</t>
        </is>
      </c>
      <c r="S54" s="20" t="inlineStr">
        <is>
          <t>IS 456:2000</t>
        </is>
      </c>
      <c r="T54" s="20" t="inlineStr">
        <is>
          <t>±%</t>
        </is>
      </c>
      <c r="U54" s="20" t="n"/>
      <c r="V54" s="20" t="n">
        <v>2</v>
      </c>
      <c r="W54" s="20">
        <f>IF(AND(ISNUMBER(I54),ISNUMBER(J54)),I54-J54,"")</f>
        <v/>
      </c>
      <c r="X54" s="20">
        <f>IF(AND(ISNUMBER(I54),ISNUMBER(J54)),IF(J54=0,"",(I54-J54)/ABS(J54)),"")</f>
        <v/>
      </c>
      <c r="Y54" s="20">
        <f>IF(T54="Advisory","No pass mark",IF(T54="Manual","Claude will check",IF(I54="","Not done yet",IF(T54="Exact",IF(AND(ISNUMBER(I54),ISNUMBER(J54)),IF(ROUND(I54,2)=ROUND(J54,2),"Pass","Fail"),IF(TRIM(LOWER(I54&amp;""))=TRIM(LOWER(J54&amp;"")),"Pass","Fail")),IF(T54="Min",IF(I54&gt;=U54-1E-9,"Pass","Fail"),IF(T54="Between",IF(AND(I54&gt;=U54,I54&lt;=V54),"Pass","Fail"),IF(J54="","Not done yet",IF(T54="±%",IF(X54="","Check correct answer",IF(ABS(X54)*100&lt;=V54+1E-9,"Pass","Fail")),IF(T54="% range",IF(X54="","Check correct answer",IF(AND(X54*100&gt;=U54-1E-9,X54*100&lt;=V54+1E-9),"Pass","Fail")),IF(T54="±abs",IF(ABS(W54)&lt;=V54+1E-9,"Pass","Fail"),"Check type"))))))))))</f>
        <v/>
      </c>
    </row>
    <row r="55">
      <c r="A55" s="15" t="inlineStr">
        <is>
          <t>S3-048</t>
        </is>
      </c>
      <c r="B55" s="15" t="inlineStr">
        <is>
          <t>B</t>
        </is>
      </c>
      <c r="C55" s="15" t="inlineStr">
        <is>
          <t>Foundation</t>
        </is>
      </c>
      <c r="D55" s="15" t="inlineStr">
        <is>
          <t>Textbook example 1: foundation type</t>
        </is>
      </c>
      <c r="E55" s="15" t="inlineStr">
        <is>
          <t>type</t>
        </is>
      </c>
      <c r="F55" s="15" t="inlineStr">
        <is>
          <t>Book</t>
        </is>
      </c>
      <c r="G55" s="15" t="inlineStr">
        <is>
          <t>Punmia or NPTEL solved example</t>
        </is>
      </c>
      <c r="H55" s="15" t="inlineStr">
        <is>
          <t>Same as correct answer</t>
        </is>
      </c>
      <c r="I55" s="16" t="n"/>
      <c r="J55" s="16" t="n"/>
      <c r="K55" s="16" t="n"/>
      <c r="L55" s="17">
        <f>IF(W55="","",W55)</f>
        <v/>
      </c>
      <c r="M55" s="18">
        <f>IF(O55&lt;&gt;"",O55,Y55)</f>
        <v/>
      </c>
      <c r="N55" s="16" t="n"/>
      <c r="O55" s="19" t="n"/>
      <c r="P55" s="19" t="n"/>
      <c r="Q55" s="19" t="n"/>
      <c r="R55" s="20" t="inlineStr">
        <is>
          <t>IS 1904</t>
        </is>
      </c>
      <c r="S55" s="20" t="inlineStr">
        <is>
          <t>n/a</t>
        </is>
      </c>
      <c r="T55" s="20" t="inlineStr">
        <is>
          <t>Exact</t>
        </is>
      </c>
      <c r="U55" s="20" t="n"/>
      <c r="V55" s="20" t="n"/>
      <c r="W55" s="20">
        <f>IF(AND(ISNUMBER(I55),ISNUMBER(J55)),I55-J55,"")</f>
        <v/>
      </c>
      <c r="X55" s="20">
        <f>IF(AND(ISNUMBER(I55),ISNUMBER(J55)),IF(J55=0,"",(I55-J55)/ABS(J55)),"")</f>
        <v/>
      </c>
      <c r="Y55" s="20">
        <f>IF(T55="Advisory","No pass mark",IF(T55="Manual","Claude will check",IF(I55="","Not done yet",IF(T55="Exact",IF(AND(ISNUMBER(I55),ISNUMBER(J55)),IF(ROUND(I55,2)=ROUND(J55,2),"Pass","Fail"),IF(TRIM(LOWER(I55&amp;""))=TRIM(LOWER(J55&amp;"")),"Pass","Fail")),IF(T55="Min",IF(I55&gt;=U55-1E-9,"Pass","Fail"),IF(T55="Between",IF(AND(I55&gt;=U55,I55&lt;=V55),"Pass","Fail"),IF(J55="","Not done yet",IF(T55="±%",IF(X55="","Check correct answer",IF(ABS(X55)*100&lt;=V55+1E-9,"Pass","Fail")),IF(T55="% range",IF(X55="","Check correct answer",IF(AND(X55*100&gt;=U55-1E-9,X55*100&lt;=V55+1E-9),"Pass","Fail")),IF(T55="±abs",IF(ABS(W55)&lt;=V55+1E-9,"Pass","Fail"),"Check type"))))))))))</f>
        <v/>
      </c>
    </row>
    <row r="56">
      <c r="A56" s="15" t="inlineStr">
        <is>
          <t>S3-049</t>
        </is>
      </c>
      <c r="B56" s="15" t="inlineStr">
        <is>
          <t>B</t>
        </is>
      </c>
      <c r="C56" s="15" t="inlineStr">
        <is>
          <t>Foundation</t>
        </is>
      </c>
      <c r="D56" s="15" t="inlineStr">
        <is>
          <t>Textbook example 2: footing size</t>
        </is>
      </c>
      <c r="E56" s="15" t="inlineStr">
        <is>
          <t>m</t>
        </is>
      </c>
      <c r="F56" s="15" t="inlineStr">
        <is>
          <t>Book</t>
        </is>
      </c>
      <c r="G56" s="15" t="inlineStr">
        <is>
          <t>Punmia or NPTEL solved example</t>
        </is>
      </c>
      <c r="H56" s="15" t="inlineStr">
        <is>
          <t>Within 2% of correct answer</t>
        </is>
      </c>
      <c r="I56" s="16" t="n"/>
      <c r="J56" s="16" t="n"/>
      <c r="K56" s="16" t="n"/>
      <c r="L56" s="25">
        <f>IF(X56="","",X56)</f>
        <v/>
      </c>
      <c r="M56" s="18">
        <f>IF(O56&lt;&gt;"",O56,Y56)</f>
        <v/>
      </c>
      <c r="N56" s="16" t="n"/>
      <c r="O56" s="19" t="n"/>
      <c r="P56" s="19" t="n"/>
      <c r="Q56" s="19" t="n"/>
      <c r="R56" s="20" t="inlineStr">
        <is>
          <t>IS 1904 / IS 456</t>
        </is>
      </c>
      <c r="S56" s="20" t="inlineStr">
        <is>
          <t>IS 456:2000</t>
        </is>
      </c>
      <c r="T56" s="20" t="inlineStr">
        <is>
          <t>±%</t>
        </is>
      </c>
      <c r="U56" s="20" t="n"/>
      <c r="V56" s="20" t="n">
        <v>2</v>
      </c>
      <c r="W56" s="20">
        <f>IF(AND(ISNUMBER(I56),ISNUMBER(J56)),I56-J56,"")</f>
        <v/>
      </c>
      <c r="X56" s="20">
        <f>IF(AND(ISNUMBER(I56),ISNUMBER(J56)),IF(J56=0,"",(I56-J56)/ABS(J56)),"")</f>
        <v/>
      </c>
      <c r="Y56" s="20">
        <f>IF(T56="Advisory","No pass mark",IF(T56="Manual","Claude will check",IF(I56="","Not done yet",IF(T56="Exact",IF(AND(ISNUMBER(I56),ISNUMBER(J56)),IF(ROUND(I56,2)=ROUND(J56,2),"Pass","Fail"),IF(TRIM(LOWER(I56&amp;""))=TRIM(LOWER(J56&amp;"")),"Pass","Fail")),IF(T56="Min",IF(I56&gt;=U56-1E-9,"Pass","Fail"),IF(T56="Between",IF(AND(I56&gt;=U56,I56&lt;=V56),"Pass","Fail"),IF(J56="","Not done yet",IF(T56="±%",IF(X56="","Check correct answer",IF(ABS(X56)*100&lt;=V56+1E-9,"Pass","Fail")),IF(T56="% range",IF(X56="","Check correct answer",IF(AND(X56*100&gt;=U56-1E-9,X56*100&lt;=V56+1E-9),"Pass","Fail")),IF(T56="±abs",IF(ABS(W56)&lt;=V56+1E-9,"Pass","Fail"),"Check type"))))))))))</f>
        <v/>
      </c>
    </row>
    <row r="57">
      <c r="A57" s="15" t="inlineStr">
        <is>
          <t>S3-050</t>
        </is>
      </c>
      <c r="B57" s="15" t="inlineStr">
        <is>
          <t>B</t>
        </is>
      </c>
      <c r="C57" s="15" t="inlineStr">
        <is>
          <t>Foundation</t>
        </is>
      </c>
      <c r="D57" s="15" t="inlineStr">
        <is>
          <t>Textbook example 2: foundation type</t>
        </is>
      </c>
      <c r="E57" s="15" t="inlineStr">
        <is>
          <t>type</t>
        </is>
      </c>
      <c r="F57" s="15" t="inlineStr">
        <is>
          <t>Book</t>
        </is>
      </c>
      <c r="G57" s="15" t="inlineStr">
        <is>
          <t>Punmia or NPTEL solved example</t>
        </is>
      </c>
      <c r="H57" s="15" t="inlineStr">
        <is>
          <t>Same as correct answer</t>
        </is>
      </c>
      <c r="I57" s="16" t="n"/>
      <c r="J57" s="16" t="n"/>
      <c r="K57" s="16" t="n"/>
      <c r="L57" s="17">
        <f>IF(W57="","",W57)</f>
        <v/>
      </c>
      <c r="M57" s="18">
        <f>IF(O57&lt;&gt;"",O57,Y57)</f>
        <v/>
      </c>
      <c r="N57" s="16" t="n"/>
      <c r="O57" s="19" t="n"/>
      <c r="P57" s="19" t="n"/>
      <c r="Q57" s="19" t="n"/>
      <c r="R57" s="20" t="inlineStr">
        <is>
          <t>IS 1904</t>
        </is>
      </c>
      <c r="S57" s="20" t="inlineStr">
        <is>
          <t>n/a</t>
        </is>
      </c>
      <c r="T57" s="20" t="inlineStr">
        <is>
          <t>Exact</t>
        </is>
      </c>
      <c r="U57" s="20" t="n"/>
      <c r="V57" s="20" t="n"/>
      <c r="W57" s="20">
        <f>IF(AND(ISNUMBER(I57),ISNUMBER(J57)),I57-J57,"")</f>
        <v/>
      </c>
      <c r="X57" s="20">
        <f>IF(AND(ISNUMBER(I57),ISNUMBER(J57)),IF(J57=0,"",(I57-J57)/ABS(J57)),"")</f>
        <v/>
      </c>
      <c r="Y57" s="20">
        <f>IF(T57="Advisory","No pass mark",IF(T57="Manual","Claude will check",IF(I57="","Not done yet",IF(T57="Exact",IF(AND(ISNUMBER(I57),ISNUMBER(J57)),IF(ROUND(I57,2)=ROUND(J57,2),"Pass","Fail"),IF(TRIM(LOWER(I57&amp;""))=TRIM(LOWER(J57&amp;"")),"Pass","Fail")),IF(T57="Min",IF(I57&gt;=U57-1E-9,"Pass","Fail"),IF(T57="Between",IF(AND(I57&gt;=U57,I57&lt;=V57),"Pass","Fail"),IF(J57="","Not done yet",IF(T57="±%",IF(X57="","Check correct answer",IF(ABS(X57)*100&lt;=V57+1E-9,"Pass","Fail")),IF(T57="% range",IF(X57="","Check correct answer",IF(AND(X57*100&gt;=U57-1E-9,X57*100&lt;=V57+1E-9),"Pass","Fail")),IF(T57="±abs",IF(ABS(W57)&lt;=V57+1E-9,"Pass","Fail"),"Check type"))))))))))</f>
        <v/>
      </c>
    </row>
    <row r="58">
      <c r="A58" s="15" t="inlineStr">
        <is>
          <t>S3-051</t>
        </is>
      </c>
      <c r="B58" s="15" t="inlineStr">
        <is>
          <t>B</t>
        </is>
      </c>
      <c r="C58" s="15" t="inlineStr">
        <is>
          <t>Foundation</t>
        </is>
      </c>
      <c r="D58" s="15" t="inlineStr">
        <is>
          <t>Textbook example 3: footing size</t>
        </is>
      </c>
      <c r="E58" s="15" t="inlineStr">
        <is>
          <t>m</t>
        </is>
      </c>
      <c r="F58" s="15" t="inlineStr">
        <is>
          <t>Book</t>
        </is>
      </c>
      <c r="G58" s="15" t="inlineStr">
        <is>
          <t>Punmia or NPTEL solved example</t>
        </is>
      </c>
      <c r="H58" s="15" t="inlineStr">
        <is>
          <t>Within 2% of correct answer</t>
        </is>
      </c>
      <c r="I58" s="16" t="n"/>
      <c r="J58" s="16" t="n"/>
      <c r="K58" s="16" t="n"/>
      <c r="L58" s="25">
        <f>IF(X58="","",X58)</f>
        <v/>
      </c>
      <c r="M58" s="18">
        <f>IF(O58&lt;&gt;"",O58,Y58)</f>
        <v/>
      </c>
      <c r="N58" s="16" t="n"/>
      <c r="O58" s="19" t="n"/>
      <c r="P58" s="19" t="n"/>
      <c r="Q58" s="19" t="n"/>
      <c r="R58" s="20" t="inlineStr">
        <is>
          <t>IS 1904 / IS 456</t>
        </is>
      </c>
      <c r="S58" s="20" t="inlineStr">
        <is>
          <t>IS 456:2000</t>
        </is>
      </c>
      <c r="T58" s="20" t="inlineStr">
        <is>
          <t>±%</t>
        </is>
      </c>
      <c r="U58" s="20" t="n"/>
      <c r="V58" s="20" t="n">
        <v>2</v>
      </c>
      <c r="W58" s="20">
        <f>IF(AND(ISNUMBER(I58),ISNUMBER(J58)),I58-J58,"")</f>
        <v/>
      </c>
      <c r="X58" s="20">
        <f>IF(AND(ISNUMBER(I58),ISNUMBER(J58)),IF(J58=0,"",(I58-J58)/ABS(J58)),"")</f>
        <v/>
      </c>
      <c r="Y58" s="20">
        <f>IF(T58="Advisory","No pass mark",IF(T58="Manual","Claude will check",IF(I58="","Not done yet",IF(T58="Exact",IF(AND(ISNUMBER(I58),ISNUMBER(J58)),IF(ROUND(I58,2)=ROUND(J58,2),"Pass","Fail"),IF(TRIM(LOWER(I58&amp;""))=TRIM(LOWER(J58&amp;"")),"Pass","Fail")),IF(T58="Min",IF(I58&gt;=U58-1E-9,"Pass","Fail"),IF(T58="Between",IF(AND(I58&gt;=U58,I58&lt;=V58),"Pass","Fail"),IF(J58="","Not done yet",IF(T58="±%",IF(X58="","Check correct answer",IF(ABS(X58)*100&lt;=V58+1E-9,"Pass","Fail")),IF(T58="% range",IF(X58="","Check correct answer",IF(AND(X58*100&gt;=U58-1E-9,X58*100&lt;=V58+1E-9),"Pass","Fail")),IF(T58="±abs",IF(ABS(W58)&lt;=V58+1E-9,"Pass","Fail"),"Check type"))))))))))</f>
        <v/>
      </c>
    </row>
    <row r="59">
      <c r="A59" s="15" t="inlineStr">
        <is>
          <t>S3-052</t>
        </is>
      </c>
      <c r="B59" s="15" t="inlineStr">
        <is>
          <t>B</t>
        </is>
      </c>
      <c r="C59" s="15" t="inlineStr">
        <is>
          <t>Foundation</t>
        </is>
      </c>
      <c r="D59" s="15" t="inlineStr">
        <is>
          <t>Textbook example 3: foundation type</t>
        </is>
      </c>
      <c r="E59" s="15" t="inlineStr">
        <is>
          <t>type</t>
        </is>
      </c>
      <c r="F59" s="15" t="inlineStr">
        <is>
          <t>Book</t>
        </is>
      </c>
      <c r="G59" s="15" t="inlineStr">
        <is>
          <t>Punmia or NPTEL solved example</t>
        </is>
      </c>
      <c r="H59" s="15" t="inlineStr">
        <is>
          <t>Same as correct answer</t>
        </is>
      </c>
      <c r="I59" s="16" t="n"/>
      <c r="J59" s="16" t="n"/>
      <c r="K59" s="16" t="n"/>
      <c r="L59" s="17">
        <f>IF(W59="","",W59)</f>
        <v/>
      </c>
      <c r="M59" s="18">
        <f>IF(O59&lt;&gt;"",O59,Y59)</f>
        <v/>
      </c>
      <c r="N59" s="16" t="n"/>
      <c r="O59" s="19" t="n"/>
      <c r="P59" s="19" t="n"/>
      <c r="Q59" s="19" t="n"/>
      <c r="R59" s="20" t="inlineStr">
        <is>
          <t>IS 1904</t>
        </is>
      </c>
      <c r="S59" s="20" t="inlineStr">
        <is>
          <t>n/a</t>
        </is>
      </c>
      <c r="T59" s="20" t="inlineStr">
        <is>
          <t>Exact</t>
        </is>
      </c>
      <c r="U59" s="20" t="n"/>
      <c r="V59" s="20" t="n"/>
      <c r="W59" s="20">
        <f>IF(AND(ISNUMBER(I59),ISNUMBER(J59)),I59-J59,"")</f>
        <v/>
      </c>
      <c r="X59" s="20">
        <f>IF(AND(ISNUMBER(I59),ISNUMBER(J59)),IF(J59=0,"",(I59-J59)/ABS(J59)),"")</f>
        <v/>
      </c>
      <c r="Y59" s="20">
        <f>IF(T59="Advisory","No pass mark",IF(T59="Manual","Claude will check",IF(I59="","Not done yet",IF(T59="Exact",IF(AND(ISNUMBER(I59),ISNUMBER(J59)),IF(ROUND(I59,2)=ROUND(J59,2),"Pass","Fail"),IF(TRIM(LOWER(I59&amp;""))=TRIM(LOWER(J59&amp;"")),"Pass","Fail")),IF(T59="Min",IF(I59&gt;=U59-1E-9,"Pass","Fail"),IF(T59="Between",IF(AND(I59&gt;=U59,I59&lt;=V59),"Pass","Fail"),IF(J59="","Not done yet",IF(T59="±%",IF(X59="","Check correct answer",IF(ABS(X59)*100&lt;=V59+1E-9,"Pass","Fail")),IF(T59="% range",IF(X59="","Check correct answer",IF(AND(X59*100&gt;=U59-1E-9,X59*100&lt;=V59+1E-9),"Pass","Fail")),IF(T59="±abs",IF(ABS(W59)&lt;=V59+1E-9,"Pass","Fail"),"Check type"))))))))))</f>
        <v/>
      </c>
    </row>
    <row r="60">
      <c r="A60" s="15" t="inlineStr">
        <is>
          <t>S3-053</t>
        </is>
      </c>
      <c r="B60" s="15" t="inlineStr">
        <is>
          <t>B</t>
        </is>
      </c>
      <c r="C60" s="15" t="inlineStr">
        <is>
          <t>Foundation</t>
        </is>
      </c>
      <c r="D60" s="15" t="inlineStr">
        <is>
          <t>Textbook soil profile: footing size</t>
        </is>
      </c>
      <c r="E60" s="15" t="inlineStr">
        <is>
          <t>m</t>
        </is>
      </c>
      <c r="F60" s="15" t="inlineStr">
        <is>
          <t>Real</t>
        </is>
      </c>
      <c r="G60" s="15" t="inlineStr">
        <is>
          <t>Hand calculation on textbook soil profile</t>
        </is>
      </c>
      <c r="H60" s="15" t="inlineStr">
        <is>
          <t>Within 2% of correct answer</t>
        </is>
      </c>
      <c r="I60" s="16" t="n"/>
      <c r="J60" s="16" t="n"/>
      <c r="K60" s="16" t="n"/>
      <c r="L60" s="25">
        <f>IF(X60="","",X60)</f>
        <v/>
      </c>
      <c r="M60" s="18">
        <f>IF(O60&lt;&gt;"",O60,Y60)</f>
        <v/>
      </c>
      <c r="N60" s="16" t="n"/>
      <c r="O60" s="19" t="n"/>
      <c r="P60" s="19" t="n"/>
      <c r="Q60" s="19" t="n"/>
      <c r="R60" s="20" t="inlineStr">
        <is>
          <t>IS 1904 / IS 456</t>
        </is>
      </c>
      <c r="S60" s="20" t="inlineStr">
        <is>
          <t>IS 456:2000</t>
        </is>
      </c>
      <c r="T60" s="20" t="inlineStr">
        <is>
          <t>±%</t>
        </is>
      </c>
      <c r="U60" s="20" t="n"/>
      <c r="V60" s="20" t="n">
        <v>2</v>
      </c>
      <c r="W60" s="20">
        <f>IF(AND(ISNUMBER(I60),ISNUMBER(J60)),I60-J60,"")</f>
        <v/>
      </c>
      <c r="X60" s="20">
        <f>IF(AND(ISNUMBER(I60),ISNUMBER(J60)),IF(J60=0,"",(I60-J60)/ABS(J60)),"")</f>
        <v/>
      </c>
      <c r="Y60" s="20">
        <f>IF(T60="Advisory","No pass mark",IF(T60="Manual","Claude will check",IF(I60="","Not done yet",IF(T60="Exact",IF(AND(ISNUMBER(I60),ISNUMBER(J60)),IF(ROUND(I60,2)=ROUND(J60,2),"Pass","Fail"),IF(TRIM(LOWER(I60&amp;""))=TRIM(LOWER(J60&amp;"")),"Pass","Fail")),IF(T60="Min",IF(I60&gt;=U60-1E-9,"Pass","Fail"),IF(T60="Between",IF(AND(I60&gt;=U60,I60&lt;=V60),"Pass","Fail"),IF(J60="","Not done yet",IF(T60="±%",IF(X60="","Check correct answer",IF(ABS(X60)*100&lt;=V60+1E-9,"Pass","Fail")),IF(T60="% range",IF(X60="","Check correct answer",IF(AND(X60*100&gt;=U60-1E-9,X60*100&lt;=V60+1E-9),"Pass","Fail")),IF(T60="±abs",IF(ABS(W60)&lt;=V60+1E-9,"Pass","Fail"),"Check type"))))))))))</f>
        <v/>
      </c>
    </row>
    <row r="61">
      <c r="A61" s="15" t="inlineStr">
        <is>
          <t>S3-054</t>
        </is>
      </c>
      <c r="B61" s="15" t="inlineStr">
        <is>
          <t>B</t>
        </is>
      </c>
      <c r="C61" s="15" t="inlineStr">
        <is>
          <t>Foundation</t>
        </is>
      </c>
      <c r="D61" s="15" t="inlineStr">
        <is>
          <t>Textbook soil profile: foundation type</t>
        </is>
      </c>
      <c r="E61" s="15" t="inlineStr">
        <is>
          <t>type</t>
        </is>
      </c>
      <c r="F61" s="15" t="inlineStr">
        <is>
          <t>Real</t>
        </is>
      </c>
      <c r="G61" s="15" t="inlineStr">
        <is>
          <t>Hand calculation on textbook soil profile</t>
        </is>
      </c>
      <c r="H61" s="15" t="inlineStr">
        <is>
          <t>Same as correct answer</t>
        </is>
      </c>
      <c r="I61" s="16" t="n"/>
      <c r="J61" s="16" t="n"/>
      <c r="K61" s="16" t="n"/>
      <c r="L61" s="17">
        <f>IF(W61="","",W61)</f>
        <v/>
      </c>
      <c r="M61" s="18">
        <f>IF(O61&lt;&gt;"",O61,Y61)</f>
        <v/>
      </c>
      <c r="N61" s="16" t="n"/>
      <c r="O61" s="19" t="n"/>
      <c r="P61" s="19" t="n"/>
      <c r="Q61" s="19" t="n"/>
      <c r="R61" s="20" t="inlineStr">
        <is>
          <t>IS 1904</t>
        </is>
      </c>
      <c r="S61" s="20" t="inlineStr">
        <is>
          <t>n/a</t>
        </is>
      </c>
      <c r="T61" s="20" t="inlineStr">
        <is>
          <t>Exact</t>
        </is>
      </c>
      <c r="U61" s="20" t="n"/>
      <c r="V61" s="20" t="n"/>
      <c r="W61" s="20">
        <f>IF(AND(ISNUMBER(I61),ISNUMBER(J61)),I61-J61,"")</f>
        <v/>
      </c>
      <c r="X61" s="20">
        <f>IF(AND(ISNUMBER(I61),ISNUMBER(J61)),IF(J61=0,"",(I61-J61)/ABS(J61)),"")</f>
        <v/>
      </c>
      <c r="Y61" s="20">
        <f>IF(T61="Advisory","No pass mark",IF(T61="Manual","Claude will check",IF(I61="","Not done yet",IF(T61="Exact",IF(AND(ISNUMBER(I61),ISNUMBER(J61)),IF(ROUND(I61,2)=ROUND(J61,2),"Pass","Fail"),IF(TRIM(LOWER(I61&amp;""))=TRIM(LOWER(J61&amp;"")),"Pass","Fail")),IF(T61="Min",IF(I61&gt;=U61-1E-9,"Pass","Fail"),IF(T61="Between",IF(AND(I61&gt;=U61,I61&lt;=V61),"Pass","Fail"),IF(J61="","Not done yet",IF(T61="±%",IF(X61="","Check correct answer",IF(ABS(X61)*100&lt;=V61+1E-9,"Pass","Fail")),IF(T61="% range",IF(X61="","Check correct answer",IF(AND(X61*100&gt;=U61-1E-9,X61*100&lt;=V61+1E-9),"Pass","Fail")),IF(T61="±abs",IF(ABS(W61)&lt;=V61+1E-9,"Pass","Fail"),"Check type"))))))))))</f>
        <v/>
      </c>
    </row>
    <row r="62">
      <c r="A62" s="15" t="inlineStr">
        <is>
          <t>S3-055</t>
        </is>
      </c>
      <c r="B62" s="15" t="inlineStr">
        <is>
          <t>B</t>
        </is>
      </c>
      <c r="C62" s="15" t="inlineStr">
        <is>
          <t>Concrete mix</t>
        </is>
      </c>
      <c r="D62" s="15" t="inlineStr">
        <is>
          <t>IS 10262 annex example 1: water-cement ratio</t>
        </is>
      </c>
      <c r="E62" s="15" t="inlineStr">
        <is>
          <t>—</t>
        </is>
      </c>
      <c r="F62" s="15" t="inlineStr">
        <is>
          <t>Book</t>
        </is>
      </c>
      <c r="G62" s="15" t="inlineStr">
        <is>
          <t>Code's own illustrative example</t>
        </is>
      </c>
      <c r="H62" s="15" t="inlineStr">
        <is>
          <t>Same as correct answer</t>
        </is>
      </c>
      <c r="I62" s="16" t="n"/>
      <c r="J62" s="16" t="n"/>
      <c r="K62" s="16" t="n"/>
      <c r="L62" s="17">
        <f>IF(W62="","",W62)</f>
        <v/>
      </c>
      <c r="M62" s="18">
        <f>IF(O62&lt;&gt;"",O62,Y62)</f>
        <v/>
      </c>
      <c r="N62" s="16" t="n"/>
      <c r="O62" s="19" t="n"/>
      <c r="P62" s="19" t="n"/>
      <c r="Q62" s="19" t="n"/>
      <c r="R62" s="20" t="inlineStr">
        <is>
          <t>IS 10262:2019 Annex</t>
        </is>
      </c>
      <c r="S62" s="20" t="inlineStr">
        <is>
          <t>IS 10262:2019</t>
        </is>
      </c>
      <c r="T62" s="20" t="inlineStr">
        <is>
          <t>Exact</t>
        </is>
      </c>
      <c r="U62" s="20" t="n"/>
      <c r="V62" s="20" t="n"/>
      <c r="W62" s="20">
        <f>IF(AND(ISNUMBER(I62),ISNUMBER(J62)),I62-J62,"")</f>
        <v/>
      </c>
      <c r="X62" s="20">
        <f>IF(AND(ISNUMBER(I62),ISNUMBER(J62)),IF(J62=0,"",(I62-J62)/ABS(J62)),"")</f>
        <v/>
      </c>
      <c r="Y62" s="20">
        <f>IF(T62="Advisory","No pass mark",IF(T62="Manual","Claude will check",IF(I62="","Not done yet",IF(T62="Exact",IF(AND(ISNUMBER(I62),ISNUMBER(J62)),IF(ROUND(I62,2)=ROUND(J62,2),"Pass","Fail"),IF(TRIM(LOWER(I62&amp;""))=TRIM(LOWER(J62&amp;"")),"Pass","Fail")),IF(T62="Min",IF(I62&gt;=U62-1E-9,"Pass","Fail"),IF(T62="Between",IF(AND(I62&gt;=U62,I62&lt;=V62),"Pass","Fail"),IF(J62="","Not done yet",IF(T62="±%",IF(X62="","Check correct answer",IF(ABS(X62)*100&lt;=V62+1E-9,"Pass","Fail")),IF(T62="% range",IF(X62="","Check correct answer",IF(AND(X62*100&gt;=U62-1E-9,X62*100&lt;=V62+1E-9),"Pass","Fail")),IF(T62="±abs",IF(ABS(W62)&lt;=V62+1E-9,"Pass","Fail"),"Check type"))))))))))</f>
        <v/>
      </c>
    </row>
    <row r="63">
      <c r="A63" s="15" t="inlineStr">
        <is>
          <t>S3-056</t>
        </is>
      </c>
      <c r="B63" s="15" t="inlineStr">
        <is>
          <t>B</t>
        </is>
      </c>
      <c r="C63" s="15" t="inlineStr">
        <is>
          <t>Concrete mix</t>
        </is>
      </c>
      <c r="D63" s="15" t="inlineStr">
        <is>
          <t>IS 10262 annex example 1: water content</t>
        </is>
      </c>
      <c r="E63" s="15" t="inlineStr">
        <is>
          <t>kg/m³</t>
        </is>
      </c>
      <c r="F63" s="15" t="inlineStr">
        <is>
          <t>Book</t>
        </is>
      </c>
      <c r="G63" s="15" t="inlineStr">
        <is>
          <t>Code's own illustrative example</t>
        </is>
      </c>
      <c r="H63" s="15" t="inlineStr">
        <is>
          <t>Same as correct answer</t>
        </is>
      </c>
      <c r="I63" s="16" t="n"/>
      <c r="J63" s="16" t="n"/>
      <c r="K63" s="16" t="n"/>
      <c r="L63" s="17">
        <f>IF(W63="","",W63)</f>
        <v/>
      </c>
      <c r="M63" s="18">
        <f>IF(O63&lt;&gt;"",O63,Y63)</f>
        <v/>
      </c>
      <c r="N63" s="16" t="n"/>
      <c r="O63" s="19" t="n"/>
      <c r="P63" s="19" t="n"/>
      <c r="Q63" s="19" t="n"/>
      <c r="R63" s="20" t="inlineStr">
        <is>
          <t>IS 10262:2019 Annex</t>
        </is>
      </c>
      <c r="S63" s="20" t="inlineStr">
        <is>
          <t>IS 10262:2019</t>
        </is>
      </c>
      <c r="T63" s="20" t="inlineStr">
        <is>
          <t>Exact</t>
        </is>
      </c>
      <c r="U63" s="20" t="n"/>
      <c r="V63" s="20" t="n"/>
      <c r="W63" s="20">
        <f>IF(AND(ISNUMBER(I63),ISNUMBER(J63)),I63-J63,"")</f>
        <v/>
      </c>
      <c r="X63" s="20">
        <f>IF(AND(ISNUMBER(I63),ISNUMBER(J63)),IF(J63=0,"",(I63-J63)/ABS(J63)),"")</f>
        <v/>
      </c>
      <c r="Y63" s="20">
        <f>IF(T63="Advisory","No pass mark",IF(T63="Manual","Claude will check",IF(I63="","Not done yet",IF(T63="Exact",IF(AND(ISNUMBER(I63),ISNUMBER(J63)),IF(ROUND(I63,2)=ROUND(J63,2),"Pass","Fail"),IF(TRIM(LOWER(I63&amp;""))=TRIM(LOWER(J63&amp;"")),"Pass","Fail")),IF(T63="Min",IF(I63&gt;=U63-1E-9,"Pass","Fail"),IF(T63="Between",IF(AND(I63&gt;=U63,I63&lt;=V63),"Pass","Fail"),IF(J63="","Not done yet",IF(T63="±%",IF(X63="","Check correct answer",IF(ABS(X63)*100&lt;=V63+1E-9,"Pass","Fail")),IF(T63="% range",IF(X63="","Check correct answer",IF(AND(X63*100&gt;=U63-1E-9,X63*100&lt;=V63+1E-9),"Pass","Fail")),IF(T63="±abs",IF(ABS(W63)&lt;=V63+1E-9,"Pass","Fail"),"Check type"))))))))))</f>
        <v/>
      </c>
    </row>
    <row r="64">
      <c r="A64" s="15" t="inlineStr">
        <is>
          <t>S3-057</t>
        </is>
      </c>
      <c r="B64" s="15" t="inlineStr">
        <is>
          <t>B</t>
        </is>
      </c>
      <c r="C64" s="15" t="inlineStr">
        <is>
          <t>Concrete mix</t>
        </is>
      </c>
      <c r="D64" s="15" t="inlineStr">
        <is>
          <t>IS 10262 annex example 1: cement content</t>
        </is>
      </c>
      <c r="E64" s="15" t="inlineStr">
        <is>
          <t>kg/m³</t>
        </is>
      </c>
      <c r="F64" s="15" t="inlineStr">
        <is>
          <t>Book</t>
        </is>
      </c>
      <c r="G64" s="15" t="inlineStr">
        <is>
          <t>Code's own illustrative example</t>
        </is>
      </c>
      <c r="H64" s="15" t="inlineStr">
        <is>
          <t>Same as correct answer</t>
        </is>
      </c>
      <c r="I64" s="16" t="n"/>
      <c r="J64" s="16" t="n"/>
      <c r="K64" s="16" t="n"/>
      <c r="L64" s="17">
        <f>IF(W64="","",W64)</f>
        <v/>
      </c>
      <c r="M64" s="18">
        <f>IF(O64&lt;&gt;"",O64,Y64)</f>
        <v/>
      </c>
      <c r="N64" s="16" t="n"/>
      <c r="O64" s="19" t="n"/>
      <c r="P64" s="19" t="n"/>
      <c r="Q64" s="19" t="n"/>
      <c r="R64" s="20" t="inlineStr">
        <is>
          <t>IS 10262:2019 Annex</t>
        </is>
      </c>
      <c r="S64" s="20" t="inlineStr">
        <is>
          <t>IS 10262:2019</t>
        </is>
      </c>
      <c r="T64" s="20" t="inlineStr">
        <is>
          <t>Exact</t>
        </is>
      </c>
      <c r="U64" s="20" t="n"/>
      <c r="V64" s="20" t="n"/>
      <c r="W64" s="20">
        <f>IF(AND(ISNUMBER(I64),ISNUMBER(J64)),I64-J64,"")</f>
        <v/>
      </c>
      <c r="X64" s="20">
        <f>IF(AND(ISNUMBER(I64),ISNUMBER(J64)),IF(J64=0,"",(I64-J64)/ABS(J64)),"")</f>
        <v/>
      </c>
      <c r="Y64" s="20">
        <f>IF(T64="Advisory","No pass mark",IF(T64="Manual","Claude will check",IF(I64="","Not done yet",IF(T64="Exact",IF(AND(ISNUMBER(I64),ISNUMBER(J64)),IF(ROUND(I64,2)=ROUND(J64,2),"Pass","Fail"),IF(TRIM(LOWER(I64&amp;""))=TRIM(LOWER(J64&amp;"")),"Pass","Fail")),IF(T64="Min",IF(I64&gt;=U64-1E-9,"Pass","Fail"),IF(T64="Between",IF(AND(I64&gt;=U64,I64&lt;=V64),"Pass","Fail"),IF(J64="","Not done yet",IF(T64="±%",IF(X64="","Check correct answer",IF(ABS(X64)*100&lt;=V64+1E-9,"Pass","Fail")),IF(T64="% range",IF(X64="","Check correct answer",IF(AND(X64*100&gt;=U64-1E-9,X64*100&lt;=V64+1E-9),"Pass","Fail")),IF(T64="±abs",IF(ABS(W64)&lt;=V64+1E-9,"Pass","Fail"),"Check type"))))))))))</f>
        <v/>
      </c>
    </row>
    <row r="65">
      <c r="A65" s="15" t="inlineStr">
        <is>
          <t>S3-058</t>
        </is>
      </c>
      <c r="B65" s="15" t="inlineStr">
        <is>
          <t>B</t>
        </is>
      </c>
      <c r="C65" s="15" t="inlineStr">
        <is>
          <t>Concrete mix</t>
        </is>
      </c>
      <c r="D65" s="15" t="inlineStr">
        <is>
          <t>IS 10262 annex example 2: water-cement ratio</t>
        </is>
      </c>
      <c r="E65" s="15" t="inlineStr">
        <is>
          <t>—</t>
        </is>
      </c>
      <c r="F65" s="15" t="inlineStr">
        <is>
          <t>Book</t>
        </is>
      </c>
      <c r="G65" s="15" t="inlineStr">
        <is>
          <t>Code's own illustrative example</t>
        </is>
      </c>
      <c r="H65" s="15" t="inlineStr">
        <is>
          <t>Same as correct answer</t>
        </is>
      </c>
      <c r="I65" s="16" t="n"/>
      <c r="J65" s="16" t="n"/>
      <c r="K65" s="16" t="n"/>
      <c r="L65" s="17">
        <f>IF(W65="","",W65)</f>
        <v/>
      </c>
      <c r="M65" s="18">
        <f>IF(O65&lt;&gt;"",O65,Y65)</f>
        <v/>
      </c>
      <c r="N65" s="16" t="n"/>
      <c r="O65" s="19" t="n"/>
      <c r="P65" s="19" t="n"/>
      <c r="Q65" s="19" t="n"/>
      <c r="R65" s="20" t="inlineStr">
        <is>
          <t>IS 10262:2019 Annex</t>
        </is>
      </c>
      <c r="S65" s="20" t="inlineStr">
        <is>
          <t>IS 10262:2019</t>
        </is>
      </c>
      <c r="T65" s="20" t="inlineStr">
        <is>
          <t>Exact</t>
        </is>
      </c>
      <c r="U65" s="20" t="n"/>
      <c r="V65" s="20" t="n"/>
      <c r="W65" s="20">
        <f>IF(AND(ISNUMBER(I65),ISNUMBER(J65)),I65-J65,"")</f>
        <v/>
      </c>
      <c r="X65" s="20">
        <f>IF(AND(ISNUMBER(I65),ISNUMBER(J65)),IF(J65=0,"",(I65-J65)/ABS(J65)),"")</f>
        <v/>
      </c>
      <c r="Y65" s="20">
        <f>IF(T65="Advisory","No pass mark",IF(T65="Manual","Claude will check",IF(I65="","Not done yet",IF(T65="Exact",IF(AND(ISNUMBER(I65),ISNUMBER(J65)),IF(ROUND(I65,2)=ROUND(J65,2),"Pass","Fail"),IF(TRIM(LOWER(I65&amp;""))=TRIM(LOWER(J65&amp;"")),"Pass","Fail")),IF(T65="Min",IF(I65&gt;=U65-1E-9,"Pass","Fail"),IF(T65="Between",IF(AND(I65&gt;=U65,I65&lt;=V65),"Pass","Fail"),IF(J65="","Not done yet",IF(T65="±%",IF(X65="","Check correct answer",IF(ABS(X65)*100&lt;=V65+1E-9,"Pass","Fail")),IF(T65="% range",IF(X65="","Check correct answer",IF(AND(X65*100&gt;=U65-1E-9,X65*100&lt;=V65+1E-9),"Pass","Fail")),IF(T65="±abs",IF(ABS(W65)&lt;=V65+1E-9,"Pass","Fail"),"Check type"))))))))))</f>
        <v/>
      </c>
    </row>
    <row r="66">
      <c r="A66" s="15" t="inlineStr">
        <is>
          <t>S3-059</t>
        </is>
      </c>
      <c r="B66" s="15" t="inlineStr">
        <is>
          <t>B</t>
        </is>
      </c>
      <c r="C66" s="15" t="inlineStr">
        <is>
          <t>Concrete mix</t>
        </is>
      </c>
      <c r="D66" s="15" t="inlineStr">
        <is>
          <t>IS 10262 annex example 2: water content</t>
        </is>
      </c>
      <c r="E66" s="15" t="inlineStr">
        <is>
          <t>kg/m³</t>
        </is>
      </c>
      <c r="F66" s="15" t="inlineStr">
        <is>
          <t>Book</t>
        </is>
      </c>
      <c r="G66" s="15" t="inlineStr">
        <is>
          <t>Code's own illustrative example</t>
        </is>
      </c>
      <c r="H66" s="15" t="inlineStr">
        <is>
          <t>Same as correct answer</t>
        </is>
      </c>
      <c r="I66" s="16" t="n"/>
      <c r="J66" s="16" t="n"/>
      <c r="K66" s="16" t="n"/>
      <c r="L66" s="17">
        <f>IF(W66="","",W66)</f>
        <v/>
      </c>
      <c r="M66" s="18">
        <f>IF(O66&lt;&gt;"",O66,Y66)</f>
        <v/>
      </c>
      <c r="N66" s="16" t="n"/>
      <c r="O66" s="19" t="n"/>
      <c r="P66" s="19" t="n"/>
      <c r="Q66" s="19" t="n"/>
      <c r="R66" s="20" t="inlineStr">
        <is>
          <t>IS 10262:2019 Annex</t>
        </is>
      </c>
      <c r="S66" s="20" t="inlineStr">
        <is>
          <t>IS 10262:2019</t>
        </is>
      </c>
      <c r="T66" s="20" t="inlineStr">
        <is>
          <t>Exact</t>
        </is>
      </c>
      <c r="U66" s="20" t="n"/>
      <c r="V66" s="20" t="n"/>
      <c r="W66" s="20">
        <f>IF(AND(ISNUMBER(I66),ISNUMBER(J66)),I66-J66,"")</f>
        <v/>
      </c>
      <c r="X66" s="20">
        <f>IF(AND(ISNUMBER(I66),ISNUMBER(J66)),IF(J66=0,"",(I66-J66)/ABS(J66)),"")</f>
        <v/>
      </c>
      <c r="Y66" s="20">
        <f>IF(T66="Advisory","No pass mark",IF(T66="Manual","Claude will check",IF(I66="","Not done yet",IF(T66="Exact",IF(AND(ISNUMBER(I66),ISNUMBER(J66)),IF(ROUND(I66,2)=ROUND(J66,2),"Pass","Fail"),IF(TRIM(LOWER(I66&amp;""))=TRIM(LOWER(J66&amp;"")),"Pass","Fail")),IF(T66="Min",IF(I66&gt;=U66-1E-9,"Pass","Fail"),IF(T66="Between",IF(AND(I66&gt;=U66,I66&lt;=V66),"Pass","Fail"),IF(J66="","Not done yet",IF(T66="±%",IF(X66="","Check correct answer",IF(ABS(X66)*100&lt;=V66+1E-9,"Pass","Fail")),IF(T66="% range",IF(X66="","Check correct answer",IF(AND(X66*100&gt;=U66-1E-9,X66*100&lt;=V66+1E-9),"Pass","Fail")),IF(T66="±abs",IF(ABS(W66)&lt;=V66+1E-9,"Pass","Fail"),"Check type"))))))))))</f>
        <v/>
      </c>
    </row>
    <row r="67">
      <c r="A67" s="15" t="inlineStr">
        <is>
          <t>S3-060</t>
        </is>
      </c>
      <c r="B67" s="15" t="inlineStr">
        <is>
          <t>B</t>
        </is>
      </c>
      <c r="C67" s="15" t="inlineStr">
        <is>
          <t>Concrete mix</t>
        </is>
      </c>
      <c r="D67" s="15" t="inlineStr">
        <is>
          <t>IS 10262 annex example 2: cement content</t>
        </is>
      </c>
      <c r="E67" s="15" t="inlineStr">
        <is>
          <t>kg/m³</t>
        </is>
      </c>
      <c r="F67" s="15" t="inlineStr">
        <is>
          <t>Book</t>
        </is>
      </c>
      <c r="G67" s="15" t="inlineStr">
        <is>
          <t>Code's own illustrative example</t>
        </is>
      </c>
      <c r="H67" s="15" t="inlineStr">
        <is>
          <t>Same as correct answer</t>
        </is>
      </c>
      <c r="I67" s="16" t="n"/>
      <c r="J67" s="16" t="n"/>
      <c r="K67" s="16" t="n"/>
      <c r="L67" s="17">
        <f>IF(W67="","",W67)</f>
        <v/>
      </c>
      <c r="M67" s="18">
        <f>IF(O67&lt;&gt;"",O67,Y67)</f>
        <v/>
      </c>
      <c r="N67" s="16" t="n"/>
      <c r="O67" s="19" t="n"/>
      <c r="P67" s="19" t="n"/>
      <c r="Q67" s="19" t="n"/>
      <c r="R67" s="20" t="inlineStr">
        <is>
          <t>IS 10262:2019 Annex</t>
        </is>
      </c>
      <c r="S67" s="20" t="inlineStr">
        <is>
          <t>IS 10262:2019</t>
        </is>
      </c>
      <c r="T67" s="20" t="inlineStr">
        <is>
          <t>Exact</t>
        </is>
      </c>
      <c r="U67" s="20" t="n"/>
      <c r="V67" s="20" t="n"/>
      <c r="W67" s="20">
        <f>IF(AND(ISNUMBER(I67),ISNUMBER(J67)),I67-J67,"")</f>
        <v/>
      </c>
      <c r="X67" s="20">
        <f>IF(AND(ISNUMBER(I67),ISNUMBER(J67)),IF(J67=0,"",(I67-J67)/ABS(J67)),"")</f>
        <v/>
      </c>
      <c r="Y67" s="20">
        <f>IF(T67="Advisory","No pass mark",IF(T67="Manual","Claude will check",IF(I67="","Not done yet",IF(T67="Exact",IF(AND(ISNUMBER(I67),ISNUMBER(J67)),IF(ROUND(I67,2)=ROUND(J67,2),"Pass","Fail"),IF(TRIM(LOWER(I67&amp;""))=TRIM(LOWER(J67&amp;"")),"Pass","Fail")),IF(T67="Min",IF(I67&gt;=U67-1E-9,"Pass","Fail"),IF(T67="Between",IF(AND(I67&gt;=U67,I67&lt;=V67),"Pass","Fail"),IF(J67="","Not done yet",IF(T67="±%",IF(X67="","Check correct answer",IF(ABS(X67)*100&lt;=V67+1E-9,"Pass","Fail")),IF(T67="% range",IF(X67="","Check correct answer",IF(AND(X67*100&gt;=U67-1E-9,X67*100&lt;=V67+1E-9),"Pass","Fail")),IF(T67="±abs",IF(ABS(W67)&lt;=V67+1E-9,"Pass","Fail"),"Check type"))))))))))</f>
        <v/>
      </c>
    </row>
    <row r="68">
      <c r="A68" s="23" t="n"/>
      <c r="B68" s="24" t="inlineStr">
        <is>
          <t>C's tests (21)</t>
        </is>
      </c>
      <c r="C68" s="23" t="n"/>
      <c r="D68" s="23" t="n"/>
      <c r="E68" s="23" t="n"/>
      <c r="F68" s="23" t="n"/>
      <c r="G68" s="23" t="n"/>
      <c r="H68" s="23" t="n"/>
      <c r="I68" s="23" t="n"/>
      <c r="J68" s="23" t="n"/>
      <c r="K68" s="23" t="n"/>
      <c r="L68" s="23" t="n"/>
      <c r="M68" s="23" t="n"/>
      <c r="N68" s="23" t="n"/>
      <c r="O68" s="23" t="n"/>
      <c r="P68" s="23" t="n"/>
      <c r="Q68" s="23" t="n"/>
    </row>
    <row r="69">
      <c r="A69" s="15" t="inlineStr">
        <is>
          <t>S3-061</t>
        </is>
      </c>
      <c r="B69" s="15" t="inlineStr">
        <is>
          <t>C</t>
        </is>
      </c>
      <c r="C69" s="15" t="inlineStr">
        <is>
          <t>Water and sewage</t>
        </is>
      </c>
      <c r="D69" s="15" t="inlineStr">
        <is>
          <t>Unit mix W1: daily water demand</t>
        </is>
      </c>
      <c r="E69" s="15" t="inlineStr">
        <is>
          <t>litres/day</t>
        </is>
      </c>
      <c r="F69" s="15" t="inlineStr">
        <is>
          <t>Book</t>
        </is>
      </c>
      <c r="G69" s="15" t="inlineStr">
        <is>
          <t>Hand calculation</t>
        </is>
      </c>
      <c r="H69" s="15" t="inlineStr">
        <is>
          <t>Same as correct answer</t>
        </is>
      </c>
      <c r="I69" s="16" t="n"/>
      <c r="J69" s="16" t="n"/>
      <c r="K69" s="16" t="n"/>
      <c r="L69" s="17">
        <f>IF(W69="","",W69)</f>
        <v/>
      </c>
      <c r="M69" s="18">
        <f>IF(O69&lt;&gt;"",O69,Y69)</f>
        <v/>
      </c>
      <c r="N69" s="16" t="n"/>
      <c r="O69" s="19" t="n"/>
      <c r="P69" s="19" t="n"/>
      <c r="Q69" s="19" t="n"/>
      <c r="R69" s="20" t="inlineStr">
        <is>
          <t>IS 1172; NBC 2016 Part 9</t>
        </is>
      </c>
      <c r="S69" s="20" t="inlineStr">
        <is>
          <t>NBC 2016</t>
        </is>
      </c>
      <c r="T69" s="20" t="inlineStr">
        <is>
          <t>Exact</t>
        </is>
      </c>
      <c r="U69" s="20" t="n"/>
      <c r="V69" s="20" t="n"/>
      <c r="W69" s="20">
        <f>IF(AND(ISNUMBER(I69),ISNUMBER(J69)),I69-J69,"")</f>
        <v/>
      </c>
      <c r="X69" s="20">
        <f>IF(AND(ISNUMBER(I69),ISNUMBER(J69)),IF(J69=0,"",(I69-J69)/ABS(J69)),"")</f>
        <v/>
      </c>
      <c r="Y69" s="20">
        <f>IF(T69="Advisory","No pass mark",IF(T69="Manual","Claude will check",IF(I69="","Not done yet",IF(T69="Exact",IF(AND(ISNUMBER(I69),ISNUMBER(J69)),IF(ROUND(I69,2)=ROUND(J69,2),"Pass","Fail"),IF(TRIM(LOWER(I69&amp;""))=TRIM(LOWER(J69&amp;"")),"Pass","Fail")),IF(T69="Min",IF(I69&gt;=U69-1E-9,"Pass","Fail"),IF(T69="Between",IF(AND(I69&gt;=U69,I69&lt;=V69),"Pass","Fail"),IF(J69="","Not done yet",IF(T69="±%",IF(X69="","Check correct answer",IF(ABS(X69)*100&lt;=V69+1E-9,"Pass","Fail")),IF(T69="% range",IF(X69="","Check correct answer",IF(AND(X69*100&gt;=U69-1E-9,X69*100&lt;=V69+1E-9),"Pass","Fail")),IF(T69="±abs",IF(ABS(W69)&lt;=V69+1E-9,"Pass","Fail"),"Check type"))))))))))</f>
        <v/>
      </c>
    </row>
    <row r="70">
      <c r="A70" s="15" t="inlineStr">
        <is>
          <t>S3-062</t>
        </is>
      </c>
      <c r="B70" s="15" t="inlineStr">
        <is>
          <t>C</t>
        </is>
      </c>
      <c r="C70" s="15" t="inlineStr">
        <is>
          <t>Water and sewage</t>
        </is>
      </c>
      <c r="D70" s="15" t="inlineStr">
        <is>
          <t>Unit mix W2: daily water demand</t>
        </is>
      </c>
      <c r="E70" s="15" t="inlineStr">
        <is>
          <t>litres/day</t>
        </is>
      </c>
      <c r="F70" s="15" t="inlineStr">
        <is>
          <t>Book</t>
        </is>
      </c>
      <c r="G70" s="15" t="inlineStr">
        <is>
          <t>Hand calculation</t>
        </is>
      </c>
      <c r="H70" s="15" t="inlineStr">
        <is>
          <t>Same as correct answer</t>
        </is>
      </c>
      <c r="I70" s="16" t="n"/>
      <c r="J70" s="16" t="n"/>
      <c r="K70" s="16" t="n"/>
      <c r="L70" s="17">
        <f>IF(W70="","",W70)</f>
        <v/>
      </c>
      <c r="M70" s="18">
        <f>IF(O70&lt;&gt;"",O70,Y70)</f>
        <v/>
      </c>
      <c r="N70" s="16" t="n"/>
      <c r="O70" s="19" t="n"/>
      <c r="P70" s="19" t="n"/>
      <c r="Q70" s="19" t="n"/>
      <c r="R70" s="20" t="inlineStr">
        <is>
          <t>IS 1172; NBC 2016 Part 9</t>
        </is>
      </c>
      <c r="S70" s="20" t="inlineStr">
        <is>
          <t>NBC 2016</t>
        </is>
      </c>
      <c r="T70" s="20" t="inlineStr">
        <is>
          <t>Exact</t>
        </is>
      </c>
      <c r="U70" s="20" t="n"/>
      <c r="V70" s="20" t="n"/>
      <c r="W70" s="20">
        <f>IF(AND(ISNUMBER(I70),ISNUMBER(J70)),I70-J70,"")</f>
        <v/>
      </c>
      <c r="X70" s="20">
        <f>IF(AND(ISNUMBER(I70),ISNUMBER(J70)),IF(J70=0,"",(I70-J70)/ABS(J70)),"")</f>
        <v/>
      </c>
      <c r="Y70" s="20">
        <f>IF(T70="Advisory","No pass mark",IF(T70="Manual","Claude will check",IF(I70="","Not done yet",IF(T70="Exact",IF(AND(ISNUMBER(I70),ISNUMBER(J70)),IF(ROUND(I70,2)=ROUND(J70,2),"Pass","Fail"),IF(TRIM(LOWER(I70&amp;""))=TRIM(LOWER(J70&amp;"")),"Pass","Fail")),IF(T70="Min",IF(I70&gt;=U70-1E-9,"Pass","Fail"),IF(T70="Between",IF(AND(I70&gt;=U70,I70&lt;=V70),"Pass","Fail"),IF(J70="","Not done yet",IF(T70="±%",IF(X70="","Check correct answer",IF(ABS(X70)*100&lt;=V70+1E-9,"Pass","Fail")),IF(T70="% range",IF(X70="","Check correct answer",IF(AND(X70*100&gt;=U70-1E-9,X70*100&lt;=V70+1E-9),"Pass","Fail")),IF(T70="±abs",IF(ABS(W70)&lt;=V70+1E-9,"Pass","Fail"),"Check type"))))))))))</f>
        <v/>
      </c>
    </row>
    <row r="71">
      <c r="A71" s="15" t="inlineStr">
        <is>
          <t>S3-063</t>
        </is>
      </c>
      <c r="B71" s="15" t="inlineStr">
        <is>
          <t>C</t>
        </is>
      </c>
      <c r="C71" s="15" t="inlineStr">
        <is>
          <t>Water and sewage</t>
        </is>
      </c>
      <c r="D71" s="15" t="inlineStr">
        <is>
          <t>Unit mix W3: daily water demand</t>
        </is>
      </c>
      <c r="E71" s="15" t="inlineStr">
        <is>
          <t>litres/day</t>
        </is>
      </c>
      <c r="F71" s="15" t="inlineStr">
        <is>
          <t>Book</t>
        </is>
      </c>
      <c r="G71" s="15" t="inlineStr">
        <is>
          <t>Hand calculation</t>
        </is>
      </c>
      <c r="H71" s="15" t="inlineStr">
        <is>
          <t>Same as correct answer</t>
        </is>
      </c>
      <c r="I71" s="16" t="n"/>
      <c r="J71" s="16" t="n"/>
      <c r="K71" s="16" t="n"/>
      <c r="L71" s="17">
        <f>IF(W71="","",W71)</f>
        <v/>
      </c>
      <c r="M71" s="18">
        <f>IF(O71&lt;&gt;"",O71,Y71)</f>
        <v/>
      </c>
      <c r="N71" s="16" t="n"/>
      <c r="O71" s="19" t="n"/>
      <c r="P71" s="19" t="n"/>
      <c r="Q71" s="19" t="n"/>
      <c r="R71" s="20" t="inlineStr">
        <is>
          <t>IS 1172; NBC 2016 Part 9</t>
        </is>
      </c>
      <c r="S71" s="20" t="inlineStr">
        <is>
          <t>NBC 2016</t>
        </is>
      </c>
      <c r="T71" s="20" t="inlineStr">
        <is>
          <t>Exact</t>
        </is>
      </c>
      <c r="U71" s="20" t="n"/>
      <c r="V71" s="20" t="n"/>
      <c r="W71" s="20">
        <f>IF(AND(ISNUMBER(I71),ISNUMBER(J71)),I71-J71,"")</f>
        <v/>
      </c>
      <c r="X71" s="20">
        <f>IF(AND(ISNUMBER(I71),ISNUMBER(J71)),IF(J71=0,"",(I71-J71)/ABS(J71)),"")</f>
        <v/>
      </c>
      <c r="Y71" s="20">
        <f>IF(T71="Advisory","No pass mark",IF(T71="Manual","Claude will check",IF(I71="","Not done yet",IF(T71="Exact",IF(AND(ISNUMBER(I71),ISNUMBER(J71)),IF(ROUND(I71,2)=ROUND(J71,2),"Pass","Fail"),IF(TRIM(LOWER(I71&amp;""))=TRIM(LOWER(J71&amp;"")),"Pass","Fail")),IF(T71="Min",IF(I71&gt;=U71-1E-9,"Pass","Fail"),IF(T71="Between",IF(AND(I71&gt;=U71,I71&lt;=V71),"Pass","Fail"),IF(J71="","Not done yet",IF(T71="±%",IF(X71="","Check correct answer",IF(ABS(X71)*100&lt;=V71+1E-9,"Pass","Fail")),IF(T71="% range",IF(X71="","Check correct answer",IF(AND(X71*100&gt;=U71-1E-9,X71*100&lt;=V71+1E-9),"Pass","Fail")),IF(T71="±abs",IF(ABS(W71)&lt;=V71+1E-9,"Pass","Fail"),"Check type"))))))))))</f>
        <v/>
      </c>
    </row>
    <row r="72">
      <c r="A72" s="15" t="inlineStr">
        <is>
          <t>S3-064</t>
        </is>
      </c>
      <c r="B72" s="15" t="inlineStr">
        <is>
          <t>C</t>
        </is>
      </c>
      <c r="C72" s="15" t="inlineStr">
        <is>
          <t>Water and sewage</t>
        </is>
      </c>
      <c r="D72" s="15" t="inlineStr">
        <is>
          <t>Sanctioned plan 1: water tank size</t>
        </is>
      </c>
      <c r="E72" s="15" t="inlineStr">
        <is>
          <t>litres</t>
        </is>
      </c>
      <c r="F72" s="15" t="inlineStr">
        <is>
          <t>Real</t>
        </is>
      </c>
      <c r="G72" s="15" t="inlineStr">
        <is>
          <t>Tank shown on sanctioned plan</t>
        </is>
      </c>
      <c r="H72" s="15" t="inlineStr">
        <is>
          <t>Within 10% of correct answer</t>
        </is>
      </c>
      <c r="I72" s="16" t="n"/>
      <c r="J72" s="16" t="n"/>
      <c r="K72" s="16" t="n"/>
      <c r="L72" s="25">
        <f>IF(X72="","",X72)</f>
        <v/>
      </c>
      <c r="M72" s="18">
        <f>IF(O72&lt;&gt;"",O72,Y72)</f>
        <v/>
      </c>
      <c r="N72" s="16" t="n"/>
      <c r="O72" s="19" t="n"/>
      <c r="P72" s="19" t="n"/>
      <c r="Q72" s="19" t="n"/>
      <c r="R72" s="20" t="inlineStr">
        <is>
          <t>NBC 2016 Part 9</t>
        </is>
      </c>
      <c r="S72" s="20" t="inlineStr">
        <is>
          <t>NBC 2016</t>
        </is>
      </c>
      <c r="T72" s="20" t="inlineStr">
        <is>
          <t>±%</t>
        </is>
      </c>
      <c r="U72" s="20" t="n"/>
      <c r="V72" s="20" t="n">
        <v>10</v>
      </c>
      <c r="W72" s="20">
        <f>IF(AND(ISNUMBER(I72),ISNUMBER(J72)),I72-J72,"")</f>
        <v/>
      </c>
      <c r="X72" s="20">
        <f>IF(AND(ISNUMBER(I72),ISNUMBER(J72)),IF(J72=0,"",(I72-J72)/ABS(J72)),"")</f>
        <v/>
      </c>
      <c r="Y72" s="20">
        <f>IF(T72="Advisory","No pass mark",IF(T72="Manual","Claude will check",IF(I72="","Not done yet",IF(T72="Exact",IF(AND(ISNUMBER(I72),ISNUMBER(J72)),IF(ROUND(I72,2)=ROUND(J72,2),"Pass","Fail"),IF(TRIM(LOWER(I72&amp;""))=TRIM(LOWER(J72&amp;"")),"Pass","Fail")),IF(T72="Min",IF(I72&gt;=U72-1E-9,"Pass","Fail"),IF(T72="Between",IF(AND(I72&gt;=U72,I72&lt;=V72),"Pass","Fail"),IF(J72="","Not done yet",IF(T72="±%",IF(X72="","Check correct answer",IF(ABS(X72)*100&lt;=V72+1E-9,"Pass","Fail")),IF(T72="% range",IF(X72="","Check correct answer",IF(AND(X72*100&gt;=U72-1E-9,X72*100&lt;=V72+1E-9),"Pass","Fail")),IF(T72="±abs",IF(ABS(W72)&lt;=V72+1E-9,"Pass","Fail"),"Check type"))))))))))</f>
        <v/>
      </c>
    </row>
    <row r="73">
      <c r="A73" s="15" t="inlineStr">
        <is>
          <t>S3-065</t>
        </is>
      </c>
      <c r="B73" s="15" t="inlineStr">
        <is>
          <t>C</t>
        </is>
      </c>
      <c r="C73" s="15" t="inlineStr">
        <is>
          <t>Water and sewage</t>
        </is>
      </c>
      <c r="D73" s="15" t="inlineStr">
        <is>
          <t>Sanctioned plan 2: water tank size</t>
        </is>
      </c>
      <c r="E73" s="15" t="inlineStr">
        <is>
          <t>litres</t>
        </is>
      </c>
      <c r="F73" s="15" t="inlineStr">
        <is>
          <t>Real</t>
        </is>
      </c>
      <c r="G73" s="15" t="inlineStr">
        <is>
          <t>Tank shown on sanctioned plan</t>
        </is>
      </c>
      <c r="H73" s="15" t="inlineStr">
        <is>
          <t>Within 10% of correct answer</t>
        </is>
      </c>
      <c r="I73" s="16" t="n"/>
      <c r="J73" s="16" t="n"/>
      <c r="K73" s="16" t="n"/>
      <c r="L73" s="25">
        <f>IF(X73="","",X73)</f>
        <v/>
      </c>
      <c r="M73" s="18">
        <f>IF(O73&lt;&gt;"",O73,Y73)</f>
        <v/>
      </c>
      <c r="N73" s="16" t="n"/>
      <c r="O73" s="19" t="n"/>
      <c r="P73" s="19" t="n"/>
      <c r="Q73" s="19" t="n"/>
      <c r="R73" s="20" t="inlineStr">
        <is>
          <t>NBC 2016 Part 9</t>
        </is>
      </c>
      <c r="S73" s="20" t="inlineStr">
        <is>
          <t>NBC 2016</t>
        </is>
      </c>
      <c r="T73" s="20" t="inlineStr">
        <is>
          <t>±%</t>
        </is>
      </c>
      <c r="U73" s="20" t="n"/>
      <c r="V73" s="20" t="n">
        <v>10</v>
      </c>
      <c r="W73" s="20">
        <f>IF(AND(ISNUMBER(I73),ISNUMBER(J73)),I73-J73,"")</f>
        <v/>
      </c>
      <c r="X73" s="20">
        <f>IF(AND(ISNUMBER(I73),ISNUMBER(J73)),IF(J73=0,"",(I73-J73)/ABS(J73)),"")</f>
        <v/>
      </c>
      <c r="Y73" s="20">
        <f>IF(T73="Advisory","No pass mark",IF(T73="Manual","Claude will check",IF(I73="","Not done yet",IF(T73="Exact",IF(AND(ISNUMBER(I73),ISNUMBER(J73)),IF(ROUND(I73,2)=ROUND(J73,2),"Pass","Fail"),IF(TRIM(LOWER(I73&amp;""))=TRIM(LOWER(J73&amp;"")),"Pass","Fail")),IF(T73="Min",IF(I73&gt;=U73-1E-9,"Pass","Fail"),IF(T73="Between",IF(AND(I73&gt;=U73,I73&lt;=V73),"Pass","Fail"),IF(J73="","Not done yet",IF(T73="±%",IF(X73="","Check correct answer",IF(ABS(X73)*100&lt;=V73+1E-9,"Pass","Fail")),IF(T73="% range",IF(X73="","Check correct answer",IF(AND(X73*100&gt;=U73-1E-9,X73*100&lt;=V73+1E-9),"Pass","Fail")),IF(T73="±abs",IF(ABS(W73)&lt;=V73+1E-9,"Pass","Fail"),"Check type"))))))))))</f>
        <v/>
      </c>
    </row>
    <row r="74">
      <c r="A74" s="15" t="inlineStr">
        <is>
          <t>S3-066</t>
        </is>
      </c>
      <c r="B74" s="15" t="inlineStr">
        <is>
          <t>C</t>
        </is>
      </c>
      <c r="C74" s="15" t="inlineStr">
        <is>
          <t>Water and sewage</t>
        </is>
      </c>
      <c r="D74" s="15" t="inlineStr">
        <is>
          <t>Pipe pressure at the worst node (OPTIONAL)</t>
        </is>
      </c>
      <c r="E74" s="15" t="inlineStr">
        <is>
          <t>m head</t>
        </is>
      </c>
      <c r="F74" s="15" t="inlineStr">
        <is>
          <t>Real</t>
        </is>
      </c>
      <c r="G74" s="15" t="inlineStr">
        <is>
          <t>EPANET model</t>
        </is>
      </c>
      <c r="H74" s="15" t="inlineStr">
        <is>
          <t>Within 5% of correct answer</t>
        </is>
      </c>
      <c r="I74" s="16" t="n"/>
      <c r="J74" s="16" t="n"/>
      <c r="K74" s="16" t="n"/>
      <c r="L74" s="25">
        <f>IF(X74="","",X74)</f>
        <v/>
      </c>
      <c r="M74" s="18">
        <f>IF(O74&lt;&gt;"",O74,Y74)</f>
        <v/>
      </c>
      <c r="N74" s="16" t="n"/>
      <c r="O74" s="19" t="n"/>
      <c r="P74" s="19" t="n"/>
      <c r="Q74" s="19" t="n"/>
      <c r="R74" s="20" t="inlineStr">
        <is>
          <t>—</t>
        </is>
      </c>
      <c r="S74" s="20" t="inlineStr">
        <is>
          <t>n/a</t>
        </is>
      </c>
      <c r="T74" s="20" t="inlineStr">
        <is>
          <t>±%</t>
        </is>
      </c>
      <c r="U74" s="20" t="n"/>
      <c r="V74" s="20" t="n">
        <v>5</v>
      </c>
      <c r="W74" s="20">
        <f>IF(AND(ISNUMBER(I74),ISNUMBER(J74)),I74-J74,"")</f>
        <v/>
      </c>
      <c r="X74" s="20">
        <f>IF(AND(ISNUMBER(I74),ISNUMBER(J74)),IF(J74=0,"",(I74-J74)/ABS(J74)),"")</f>
        <v/>
      </c>
      <c r="Y74" s="20">
        <f>IF(T74="Advisory","No pass mark",IF(T74="Manual","Claude will check",IF(I74="","Not done yet",IF(T74="Exact",IF(AND(ISNUMBER(I74),ISNUMBER(J74)),IF(ROUND(I74,2)=ROUND(J74,2),"Pass","Fail"),IF(TRIM(LOWER(I74&amp;""))=TRIM(LOWER(J74&amp;"")),"Pass","Fail")),IF(T74="Min",IF(I74&gt;=U74-1E-9,"Pass","Fail"),IF(T74="Between",IF(AND(I74&gt;=U74,I74&lt;=V74),"Pass","Fail"),IF(J74="","Not done yet",IF(T74="±%",IF(X74="","Check correct answer",IF(ABS(X74)*100&lt;=V74+1E-9,"Pass","Fail")),IF(T74="% range",IF(X74="","Check correct answer",IF(AND(X74*100&gt;=U74-1E-9,X74*100&lt;=V74+1E-9),"Pass","Fail")),IF(T74="±abs",IF(ABS(W74)&lt;=V74+1E-9,"Pass","Fail"),"Check type"))))))))))</f>
        <v/>
      </c>
    </row>
    <row r="75">
      <c r="A75" s="15" t="inlineStr">
        <is>
          <t>S3-067</t>
        </is>
      </c>
      <c r="B75" s="15" t="inlineStr">
        <is>
          <t>C</t>
        </is>
      </c>
      <c r="C75" s="15" t="inlineStr">
        <is>
          <t>Storm water</t>
        </is>
      </c>
      <c r="D75" s="15" t="inlineStr">
        <is>
          <t>Textbook rational-method example: peak runoff</t>
        </is>
      </c>
      <c r="E75" s="15" t="inlineStr">
        <is>
          <t>m³/s</t>
        </is>
      </c>
      <c r="F75" s="15" t="inlineStr">
        <is>
          <t>Book</t>
        </is>
      </c>
      <c r="G75" s="15" t="inlineStr">
        <is>
          <t>Textbook solved example</t>
        </is>
      </c>
      <c r="H75" s="15" t="inlineStr">
        <is>
          <t>Within 2% of correct answer</t>
        </is>
      </c>
      <c r="I75" s="16" t="n"/>
      <c r="J75" s="16" t="n"/>
      <c r="K75" s="16" t="n"/>
      <c r="L75" s="25">
        <f>IF(X75="","",X75)</f>
        <v/>
      </c>
      <c r="M75" s="18">
        <f>IF(O75&lt;&gt;"",O75,Y75)</f>
        <v/>
      </c>
      <c r="N75" s="16" t="n"/>
      <c r="O75" s="19" t="n"/>
      <c r="P75" s="19" t="n"/>
      <c r="Q75" s="19" t="n"/>
      <c r="R75" s="20" t="inlineStr">
        <is>
          <t>Rational method Q = CiA</t>
        </is>
      </c>
      <c r="S75" s="20" t="inlineStr">
        <is>
          <t>n/a</t>
        </is>
      </c>
      <c r="T75" s="20" t="inlineStr">
        <is>
          <t>±%</t>
        </is>
      </c>
      <c r="U75" s="20" t="n"/>
      <c r="V75" s="20" t="n">
        <v>2</v>
      </c>
      <c r="W75" s="20">
        <f>IF(AND(ISNUMBER(I75),ISNUMBER(J75)),I75-J75,"")</f>
        <v/>
      </c>
      <c r="X75" s="20">
        <f>IF(AND(ISNUMBER(I75),ISNUMBER(J75)),IF(J75=0,"",(I75-J75)/ABS(J75)),"")</f>
        <v/>
      </c>
      <c r="Y75" s="20">
        <f>IF(T75="Advisory","No pass mark",IF(T75="Manual","Claude will check",IF(I75="","Not done yet",IF(T75="Exact",IF(AND(ISNUMBER(I75),ISNUMBER(J75)),IF(ROUND(I75,2)=ROUND(J75,2),"Pass","Fail"),IF(TRIM(LOWER(I75&amp;""))=TRIM(LOWER(J75&amp;"")),"Pass","Fail")),IF(T75="Min",IF(I75&gt;=U75-1E-9,"Pass","Fail"),IF(T75="Between",IF(AND(I75&gt;=U75,I75&lt;=V75),"Pass","Fail"),IF(J75="","Not done yet",IF(T75="±%",IF(X75="","Check correct answer",IF(ABS(X75)*100&lt;=V75+1E-9,"Pass","Fail")),IF(T75="% range",IF(X75="","Check correct answer",IF(AND(X75*100&gt;=U75-1E-9,X75*100&lt;=V75+1E-9),"Pass","Fail")),IF(T75="±abs",IF(ABS(W75)&lt;=V75+1E-9,"Pass","Fail"),"Check type"))))))))))</f>
        <v/>
      </c>
    </row>
    <row r="76">
      <c r="A76" s="15" t="inlineStr">
        <is>
          <t>S3-068</t>
        </is>
      </c>
      <c r="B76" s="15" t="inlineStr">
        <is>
          <t>C</t>
        </is>
      </c>
      <c r="C76" s="15" t="inlineStr">
        <is>
          <t>Storm water</t>
        </is>
      </c>
      <c r="D76" s="15" t="inlineStr">
        <is>
          <t>Bengaluru design rainfall used by the app</t>
        </is>
      </c>
      <c r="E76" s="15" t="inlineStr">
        <is>
          <t>mm</t>
        </is>
      </c>
      <c r="F76" s="15" t="inlineStr">
        <is>
          <t>Real</t>
        </is>
      </c>
      <c r="G76" s="15" t="inlineStr">
        <is>
          <t>IMD or NASA POWER</t>
        </is>
      </c>
      <c r="H76" s="15" t="inlineStr">
        <is>
          <t>Within 2% of correct answer</t>
        </is>
      </c>
      <c r="I76" s="16" t="n"/>
      <c r="J76" s="16" t="n"/>
      <c r="K76" s="16" t="n"/>
      <c r="L76" s="25">
        <f>IF(X76="","",X76)</f>
        <v/>
      </c>
      <c r="M76" s="18">
        <f>IF(O76&lt;&gt;"",O76,Y76)</f>
        <v/>
      </c>
      <c r="N76" s="16" t="n"/>
      <c r="O76" s="19" t="n"/>
      <c r="P76" s="19" t="n"/>
      <c r="Q76" s="19" t="n"/>
      <c r="R76" s="20" t="inlineStr">
        <is>
          <t>—</t>
        </is>
      </c>
      <c r="S76" s="20" t="inlineStr">
        <is>
          <t>n/a</t>
        </is>
      </c>
      <c r="T76" s="20" t="inlineStr">
        <is>
          <t>±%</t>
        </is>
      </c>
      <c r="U76" s="20" t="n"/>
      <c r="V76" s="20" t="n">
        <v>2</v>
      </c>
      <c r="W76" s="20">
        <f>IF(AND(ISNUMBER(I76),ISNUMBER(J76)),I76-J76,"")</f>
        <v/>
      </c>
      <c r="X76" s="20">
        <f>IF(AND(ISNUMBER(I76),ISNUMBER(J76)),IF(J76=0,"",(I76-J76)/ABS(J76)),"")</f>
        <v/>
      </c>
      <c r="Y76" s="20">
        <f>IF(T76="Advisory","No pass mark",IF(T76="Manual","Claude will check",IF(I76="","Not done yet",IF(T76="Exact",IF(AND(ISNUMBER(I76),ISNUMBER(J76)),IF(ROUND(I76,2)=ROUND(J76,2),"Pass","Fail"),IF(TRIM(LOWER(I76&amp;""))=TRIM(LOWER(J76&amp;"")),"Pass","Fail")),IF(T76="Min",IF(I76&gt;=U76-1E-9,"Pass","Fail"),IF(T76="Between",IF(AND(I76&gt;=U76,I76&lt;=V76),"Pass","Fail"),IF(J76="","Not done yet",IF(T76="±%",IF(X76="","Check correct answer",IF(ABS(X76)*100&lt;=V76+1E-9,"Pass","Fail")),IF(T76="% range",IF(X76="","Check correct answer",IF(AND(X76*100&gt;=U76-1E-9,X76*100&lt;=V76+1E-9),"Pass","Fail")),IF(T76="±abs",IF(ABS(W76)&lt;=V76+1E-9,"Pass","Fail"),"Check type"))))))))))</f>
        <v/>
      </c>
    </row>
    <row r="77">
      <c r="A77" s="15" t="inlineStr">
        <is>
          <t>S3-069</t>
        </is>
      </c>
      <c r="B77" s="15" t="inlineStr">
        <is>
          <t>C</t>
        </is>
      </c>
      <c r="C77" s="15" t="inlineStr">
        <is>
          <t>Fire checks</t>
        </is>
      </c>
      <c r="D77" s="15" t="inlineStr">
        <is>
          <t>Two staircases above 24 m: design that just passes</t>
        </is>
      </c>
      <c r="E77" s="15" t="inlineStr">
        <is>
          <t>Pass/Fail</t>
        </is>
      </c>
      <c r="F77" s="15" t="inlineStr">
        <is>
          <t>Book</t>
        </is>
      </c>
      <c r="G77" s="15" t="inlineStr">
        <is>
          <t>Test design at the limit</t>
        </is>
      </c>
      <c r="H77" s="15" t="inlineStr">
        <is>
          <t>Same as correct answer</t>
        </is>
      </c>
      <c r="I77" s="16" t="n"/>
      <c r="J77" s="16" t="inlineStr">
        <is>
          <t>Pass</t>
        </is>
      </c>
      <c r="K77" s="16" t="n"/>
      <c r="L77" s="17">
        <f>IF(W77="","",W77)</f>
        <v/>
      </c>
      <c r="M77" s="18">
        <f>IF(O77&lt;&gt;"",O77,Y77)</f>
        <v/>
      </c>
      <c r="N77" s="16" t="n"/>
      <c r="O77" s="19" t="n"/>
      <c r="P77" s="19" t="n"/>
      <c r="Q77" s="19" t="n"/>
      <c r="R77" s="20" t="inlineStr">
        <is>
          <t>NBC 2016 Part 4</t>
        </is>
      </c>
      <c r="S77" s="20" t="inlineStr">
        <is>
          <t>NBC 2016</t>
        </is>
      </c>
      <c r="T77" s="20" t="inlineStr">
        <is>
          <t>Exact</t>
        </is>
      </c>
      <c r="U77" s="20" t="n"/>
      <c r="V77" s="20" t="n"/>
      <c r="W77" s="20">
        <f>IF(AND(ISNUMBER(I77),ISNUMBER(J77)),I77-J77,"")</f>
        <v/>
      </c>
      <c r="X77" s="20">
        <f>IF(AND(ISNUMBER(I77),ISNUMBER(J77)),IF(J77=0,"",(I77-J77)/ABS(J77)),"")</f>
        <v/>
      </c>
      <c r="Y77" s="20">
        <f>IF(T77="Advisory","No pass mark",IF(T77="Manual","Claude will check",IF(I77="","Not done yet",IF(T77="Exact",IF(AND(ISNUMBER(I77),ISNUMBER(J77)),IF(ROUND(I77,2)=ROUND(J77,2),"Pass","Fail"),IF(TRIM(LOWER(I77&amp;""))=TRIM(LOWER(J77&amp;"")),"Pass","Fail")),IF(T77="Min",IF(I77&gt;=U77-1E-9,"Pass","Fail"),IF(T77="Between",IF(AND(I77&gt;=U77,I77&lt;=V77),"Pass","Fail"),IF(J77="","Not done yet",IF(T77="±%",IF(X77="","Check correct answer",IF(ABS(X77)*100&lt;=V77+1E-9,"Pass","Fail")),IF(T77="% range",IF(X77="","Check correct answer",IF(AND(X77*100&gt;=U77-1E-9,X77*100&lt;=V77+1E-9),"Pass","Fail")),IF(T77="±abs",IF(ABS(W77)&lt;=V77+1E-9,"Pass","Fail"),"Check type"))))))))))</f>
        <v/>
      </c>
    </row>
    <row r="78">
      <c r="A78" s="15" t="inlineStr">
        <is>
          <t>S3-070</t>
        </is>
      </c>
      <c r="B78" s="15" t="inlineStr">
        <is>
          <t>C</t>
        </is>
      </c>
      <c r="C78" s="15" t="inlineStr">
        <is>
          <t>Fire checks</t>
        </is>
      </c>
      <c r="D78" s="15" t="inlineStr">
        <is>
          <t>Two staircases above 24 m: design that just fails</t>
        </is>
      </c>
      <c r="E78" s="15" t="inlineStr">
        <is>
          <t>Pass/Fail</t>
        </is>
      </c>
      <c r="F78" s="15" t="inlineStr">
        <is>
          <t>Book</t>
        </is>
      </c>
      <c r="G78" s="15" t="inlineStr">
        <is>
          <t>Test design at the limit</t>
        </is>
      </c>
      <c r="H78" s="15" t="inlineStr">
        <is>
          <t>Same as correct answer</t>
        </is>
      </c>
      <c r="I78" s="16" t="n"/>
      <c r="J78" s="16" t="inlineStr">
        <is>
          <t>Fail</t>
        </is>
      </c>
      <c r="K78" s="16" t="n"/>
      <c r="L78" s="17">
        <f>IF(W78="","",W78)</f>
        <v/>
      </c>
      <c r="M78" s="18">
        <f>IF(O78&lt;&gt;"",O78,Y78)</f>
        <v/>
      </c>
      <c r="N78" s="16" t="n"/>
      <c r="O78" s="19" t="n"/>
      <c r="P78" s="19" t="n"/>
      <c r="Q78" s="19" t="n"/>
      <c r="R78" s="20" t="inlineStr">
        <is>
          <t>NBC 2016 Part 4</t>
        </is>
      </c>
      <c r="S78" s="20" t="inlineStr">
        <is>
          <t>NBC 2016</t>
        </is>
      </c>
      <c r="T78" s="20" t="inlineStr">
        <is>
          <t>Exact</t>
        </is>
      </c>
      <c r="U78" s="20" t="n"/>
      <c r="V78" s="20" t="n"/>
      <c r="W78" s="20">
        <f>IF(AND(ISNUMBER(I78),ISNUMBER(J78)),I78-J78,"")</f>
        <v/>
      </c>
      <c r="X78" s="20">
        <f>IF(AND(ISNUMBER(I78),ISNUMBER(J78)),IF(J78=0,"",(I78-J78)/ABS(J78)),"")</f>
        <v/>
      </c>
      <c r="Y78" s="20">
        <f>IF(T78="Advisory","No pass mark",IF(T78="Manual","Claude will check",IF(I78="","Not done yet",IF(T78="Exact",IF(AND(ISNUMBER(I78),ISNUMBER(J78)),IF(ROUND(I78,2)=ROUND(J78,2),"Pass","Fail"),IF(TRIM(LOWER(I78&amp;""))=TRIM(LOWER(J78&amp;"")),"Pass","Fail")),IF(T78="Min",IF(I78&gt;=U78-1E-9,"Pass","Fail"),IF(T78="Between",IF(AND(I78&gt;=U78,I78&lt;=V78),"Pass","Fail"),IF(J78="","Not done yet",IF(T78="±%",IF(X78="","Check correct answer",IF(ABS(X78)*100&lt;=V78+1E-9,"Pass","Fail")),IF(T78="% range",IF(X78="","Check correct answer",IF(AND(X78*100&gt;=U78-1E-9,X78*100&lt;=V78+1E-9),"Pass","Fail")),IF(T78="±abs",IF(ABS(W78)&lt;=V78+1E-9,"Pass","Fail"),"Check type"))))))))))</f>
        <v/>
      </c>
    </row>
    <row r="79">
      <c r="A79" s="15" t="inlineStr">
        <is>
          <t>S3-071</t>
        </is>
      </c>
      <c r="B79" s="15" t="inlineStr">
        <is>
          <t>C</t>
        </is>
      </c>
      <c r="C79" s="15" t="inlineStr">
        <is>
          <t>Fire checks</t>
        </is>
      </c>
      <c r="D79" s="15" t="inlineStr">
        <is>
          <t>Refuge area every 7th floor above 24 m: design that just passes</t>
        </is>
      </c>
      <c r="E79" s="15" t="inlineStr">
        <is>
          <t>Pass/Fail</t>
        </is>
      </c>
      <c r="F79" s="15" t="inlineStr">
        <is>
          <t>Book</t>
        </is>
      </c>
      <c r="G79" s="15" t="inlineStr">
        <is>
          <t>Test design at the limit</t>
        </is>
      </c>
      <c r="H79" s="15" t="inlineStr">
        <is>
          <t>Same as correct answer</t>
        </is>
      </c>
      <c r="I79" s="16" t="n"/>
      <c r="J79" s="16" t="inlineStr">
        <is>
          <t>Pass</t>
        </is>
      </c>
      <c r="K79" s="16" t="n"/>
      <c r="L79" s="17">
        <f>IF(W79="","",W79)</f>
        <v/>
      </c>
      <c r="M79" s="18">
        <f>IF(O79&lt;&gt;"",O79,Y79)</f>
        <v/>
      </c>
      <c r="N79" s="16" t="n"/>
      <c r="O79" s="19" t="n"/>
      <c r="P79" s="19" t="n"/>
      <c r="Q79" s="19" t="n"/>
      <c r="R79" s="20" t="inlineStr">
        <is>
          <t>NBC 2016 Part 4</t>
        </is>
      </c>
      <c r="S79" s="20" t="inlineStr">
        <is>
          <t>NBC 2016</t>
        </is>
      </c>
      <c r="T79" s="20" t="inlineStr">
        <is>
          <t>Exact</t>
        </is>
      </c>
      <c r="U79" s="20" t="n"/>
      <c r="V79" s="20" t="n"/>
      <c r="W79" s="20">
        <f>IF(AND(ISNUMBER(I79),ISNUMBER(J79)),I79-J79,"")</f>
        <v/>
      </c>
      <c r="X79" s="20">
        <f>IF(AND(ISNUMBER(I79),ISNUMBER(J79)),IF(J79=0,"",(I79-J79)/ABS(J79)),"")</f>
        <v/>
      </c>
      <c r="Y79" s="20">
        <f>IF(T79="Advisory","No pass mark",IF(T79="Manual","Claude will check",IF(I79="","Not done yet",IF(T79="Exact",IF(AND(ISNUMBER(I79),ISNUMBER(J79)),IF(ROUND(I79,2)=ROUND(J79,2),"Pass","Fail"),IF(TRIM(LOWER(I79&amp;""))=TRIM(LOWER(J79&amp;"")),"Pass","Fail")),IF(T79="Min",IF(I79&gt;=U79-1E-9,"Pass","Fail"),IF(T79="Between",IF(AND(I79&gt;=U79,I79&lt;=V79),"Pass","Fail"),IF(J79="","Not done yet",IF(T79="±%",IF(X79="","Check correct answer",IF(ABS(X79)*100&lt;=V79+1E-9,"Pass","Fail")),IF(T79="% range",IF(X79="","Check correct answer",IF(AND(X79*100&gt;=U79-1E-9,X79*100&lt;=V79+1E-9),"Pass","Fail")),IF(T79="±abs",IF(ABS(W79)&lt;=V79+1E-9,"Pass","Fail"),"Check type"))))))))))</f>
        <v/>
      </c>
    </row>
    <row r="80">
      <c r="A80" s="15" t="inlineStr">
        <is>
          <t>S3-072</t>
        </is>
      </c>
      <c r="B80" s="15" t="inlineStr">
        <is>
          <t>C</t>
        </is>
      </c>
      <c r="C80" s="15" t="inlineStr">
        <is>
          <t>Fire checks</t>
        </is>
      </c>
      <c r="D80" s="15" t="inlineStr">
        <is>
          <t>Refuge area every 7th floor above 24 m: design that just fails</t>
        </is>
      </c>
      <c r="E80" s="15" t="inlineStr">
        <is>
          <t>Pass/Fail</t>
        </is>
      </c>
      <c r="F80" s="15" t="inlineStr">
        <is>
          <t>Book</t>
        </is>
      </c>
      <c r="G80" s="15" t="inlineStr">
        <is>
          <t>Test design at the limit</t>
        </is>
      </c>
      <c r="H80" s="15" t="inlineStr">
        <is>
          <t>Same as correct answer</t>
        </is>
      </c>
      <c r="I80" s="16" t="n"/>
      <c r="J80" s="16" t="inlineStr">
        <is>
          <t>Fail</t>
        </is>
      </c>
      <c r="K80" s="16" t="n"/>
      <c r="L80" s="17">
        <f>IF(W80="","",W80)</f>
        <v/>
      </c>
      <c r="M80" s="18">
        <f>IF(O80&lt;&gt;"",O80,Y80)</f>
        <v/>
      </c>
      <c r="N80" s="16" t="n"/>
      <c r="O80" s="19" t="n"/>
      <c r="P80" s="19" t="n"/>
      <c r="Q80" s="19" t="n"/>
      <c r="R80" s="20" t="inlineStr">
        <is>
          <t>NBC 2016 Part 4</t>
        </is>
      </c>
      <c r="S80" s="20" t="inlineStr">
        <is>
          <t>NBC 2016</t>
        </is>
      </c>
      <c r="T80" s="20" t="inlineStr">
        <is>
          <t>Exact</t>
        </is>
      </c>
      <c r="U80" s="20" t="n"/>
      <c r="V80" s="20" t="n"/>
      <c r="W80" s="20">
        <f>IF(AND(ISNUMBER(I80),ISNUMBER(J80)),I80-J80,"")</f>
        <v/>
      </c>
      <c r="X80" s="20">
        <f>IF(AND(ISNUMBER(I80),ISNUMBER(J80)),IF(J80=0,"",(I80-J80)/ABS(J80)),"")</f>
        <v/>
      </c>
      <c r="Y80" s="20">
        <f>IF(T80="Advisory","No pass mark",IF(T80="Manual","Claude will check",IF(I80="","Not done yet",IF(T80="Exact",IF(AND(ISNUMBER(I80),ISNUMBER(J80)),IF(ROUND(I80,2)=ROUND(J80,2),"Pass","Fail"),IF(TRIM(LOWER(I80&amp;""))=TRIM(LOWER(J80&amp;"")),"Pass","Fail")),IF(T80="Min",IF(I80&gt;=U80-1E-9,"Pass","Fail"),IF(T80="Between",IF(AND(I80&gt;=U80,I80&lt;=V80),"Pass","Fail"),IF(J80="","Not done yet",IF(T80="±%",IF(X80="","Check correct answer",IF(ABS(X80)*100&lt;=V80+1E-9,"Pass","Fail")),IF(T80="% range",IF(X80="","Check correct answer",IF(AND(X80*100&gt;=U80-1E-9,X80*100&lt;=V80+1E-9),"Pass","Fail")),IF(T80="±abs",IF(ABS(W80)&lt;=V80+1E-9,"Pass","Fail"),"Check type"))))))))))</f>
        <v/>
      </c>
    </row>
    <row r="81">
      <c r="A81" s="15" t="inlineStr">
        <is>
          <t>S3-073</t>
        </is>
      </c>
      <c r="B81" s="15" t="inlineStr">
        <is>
          <t>C</t>
        </is>
      </c>
      <c r="C81" s="15" t="inlineStr">
        <is>
          <t>Fire checks</t>
        </is>
      </c>
      <c r="D81" s="15" t="inlineStr">
        <is>
          <t>Fire lift above 30 m: design that just passes</t>
        </is>
      </c>
      <c r="E81" s="15" t="inlineStr">
        <is>
          <t>Pass/Fail</t>
        </is>
      </c>
      <c r="F81" s="15" t="inlineStr">
        <is>
          <t>Book</t>
        </is>
      </c>
      <c r="G81" s="15" t="inlineStr">
        <is>
          <t>Test design at the limit</t>
        </is>
      </c>
      <c r="H81" s="15" t="inlineStr">
        <is>
          <t>Same as correct answer</t>
        </is>
      </c>
      <c r="I81" s="16" t="n"/>
      <c r="J81" s="16" t="inlineStr">
        <is>
          <t>Pass</t>
        </is>
      </c>
      <c r="K81" s="16" t="n"/>
      <c r="L81" s="17">
        <f>IF(W81="","",W81)</f>
        <v/>
      </c>
      <c r="M81" s="18">
        <f>IF(O81&lt;&gt;"",O81,Y81)</f>
        <v/>
      </c>
      <c r="N81" s="16" t="n"/>
      <c r="O81" s="19" t="n"/>
      <c r="P81" s="19" t="n"/>
      <c r="Q81" s="19" t="n"/>
      <c r="R81" s="20" t="inlineStr">
        <is>
          <t>NBC 2016 Part 4</t>
        </is>
      </c>
      <c r="S81" s="20" t="inlineStr">
        <is>
          <t>NBC 2016</t>
        </is>
      </c>
      <c r="T81" s="20" t="inlineStr">
        <is>
          <t>Exact</t>
        </is>
      </c>
      <c r="U81" s="20" t="n"/>
      <c r="V81" s="20" t="n"/>
      <c r="W81" s="20">
        <f>IF(AND(ISNUMBER(I81),ISNUMBER(J81)),I81-J81,"")</f>
        <v/>
      </c>
      <c r="X81" s="20">
        <f>IF(AND(ISNUMBER(I81),ISNUMBER(J81)),IF(J81=0,"",(I81-J81)/ABS(J81)),"")</f>
        <v/>
      </c>
      <c r="Y81" s="20">
        <f>IF(T81="Advisory","No pass mark",IF(T81="Manual","Claude will check",IF(I81="","Not done yet",IF(T81="Exact",IF(AND(ISNUMBER(I81),ISNUMBER(J81)),IF(ROUND(I81,2)=ROUND(J81,2),"Pass","Fail"),IF(TRIM(LOWER(I81&amp;""))=TRIM(LOWER(J81&amp;"")),"Pass","Fail")),IF(T81="Min",IF(I81&gt;=U81-1E-9,"Pass","Fail"),IF(T81="Between",IF(AND(I81&gt;=U81,I81&lt;=V81),"Pass","Fail"),IF(J81="","Not done yet",IF(T81="±%",IF(X81="","Check correct answer",IF(ABS(X81)*100&lt;=V81+1E-9,"Pass","Fail")),IF(T81="% range",IF(X81="","Check correct answer",IF(AND(X81*100&gt;=U81-1E-9,X81*100&lt;=V81+1E-9),"Pass","Fail")),IF(T81="±abs",IF(ABS(W81)&lt;=V81+1E-9,"Pass","Fail"),"Check type"))))))))))</f>
        <v/>
      </c>
    </row>
    <row r="82">
      <c r="A82" s="15" t="inlineStr">
        <is>
          <t>S3-074</t>
        </is>
      </c>
      <c r="B82" s="15" t="inlineStr">
        <is>
          <t>C</t>
        </is>
      </c>
      <c r="C82" s="15" t="inlineStr">
        <is>
          <t>Fire checks</t>
        </is>
      </c>
      <c r="D82" s="15" t="inlineStr">
        <is>
          <t>Fire lift above 30 m: design that just fails</t>
        </is>
      </c>
      <c r="E82" s="15" t="inlineStr">
        <is>
          <t>Pass/Fail</t>
        </is>
      </c>
      <c r="F82" s="15" t="inlineStr">
        <is>
          <t>Book</t>
        </is>
      </c>
      <c r="G82" s="15" t="inlineStr">
        <is>
          <t>Test design at the limit</t>
        </is>
      </c>
      <c r="H82" s="15" t="inlineStr">
        <is>
          <t>Same as correct answer</t>
        </is>
      </c>
      <c r="I82" s="16" t="n"/>
      <c r="J82" s="16" t="inlineStr">
        <is>
          <t>Fail</t>
        </is>
      </c>
      <c r="K82" s="16" t="n"/>
      <c r="L82" s="17">
        <f>IF(W82="","",W82)</f>
        <v/>
      </c>
      <c r="M82" s="18">
        <f>IF(O82&lt;&gt;"",O82,Y82)</f>
        <v/>
      </c>
      <c r="N82" s="16" t="n"/>
      <c r="O82" s="19" t="n"/>
      <c r="P82" s="19" t="n"/>
      <c r="Q82" s="19" t="n"/>
      <c r="R82" s="20" t="inlineStr">
        <is>
          <t>NBC 2016 Part 4</t>
        </is>
      </c>
      <c r="S82" s="20" t="inlineStr">
        <is>
          <t>NBC 2016</t>
        </is>
      </c>
      <c r="T82" s="20" t="inlineStr">
        <is>
          <t>Exact</t>
        </is>
      </c>
      <c r="U82" s="20" t="n"/>
      <c r="V82" s="20" t="n"/>
      <c r="W82" s="20">
        <f>IF(AND(ISNUMBER(I82),ISNUMBER(J82)),I82-J82,"")</f>
        <v/>
      </c>
      <c r="X82" s="20">
        <f>IF(AND(ISNUMBER(I82),ISNUMBER(J82)),IF(J82=0,"",(I82-J82)/ABS(J82)),"")</f>
        <v/>
      </c>
      <c r="Y82" s="20">
        <f>IF(T82="Advisory","No pass mark",IF(T82="Manual","Claude will check",IF(I82="","Not done yet",IF(T82="Exact",IF(AND(ISNUMBER(I82),ISNUMBER(J82)),IF(ROUND(I82,2)=ROUND(J82,2),"Pass","Fail"),IF(TRIM(LOWER(I82&amp;""))=TRIM(LOWER(J82&amp;"")),"Pass","Fail")),IF(T82="Min",IF(I82&gt;=U82-1E-9,"Pass","Fail"),IF(T82="Between",IF(AND(I82&gt;=U82,I82&lt;=V82),"Pass","Fail"),IF(J82="","Not done yet",IF(T82="±%",IF(X82="","Check correct answer",IF(ABS(X82)*100&lt;=V82+1E-9,"Pass","Fail")),IF(T82="% range",IF(X82="","Check correct answer",IF(AND(X82*100&gt;=U82-1E-9,X82*100&lt;=V82+1E-9),"Pass","Fail")),IF(T82="±abs",IF(ABS(W82)&lt;=V82+1E-9,"Pass","Fail"),"Check type"))))))))))</f>
        <v/>
      </c>
    </row>
    <row r="83">
      <c r="A83" s="15" t="inlineStr">
        <is>
          <t>S3-075</t>
        </is>
      </c>
      <c r="B83" s="15" t="inlineStr">
        <is>
          <t>C</t>
        </is>
      </c>
      <c r="C83" s="15" t="inlineStr">
        <is>
          <t>Fire checks</t>
        </is>
      </c>
      <c r="D83" s="15" t="inlineStr">
        <is>
          <t>Travel distance to exit ≤ 30 m: design that just passes</t>
        </is>
      </c>
      <c r="E83" s="15" t="inlineStr">
        <is>
          <t>Pass/Fail</t>
        </is>
      </c>
      <c r="F83" s="15" t="inlineStr">
        <is>
          <t>Book</t>
        </is>
      </c>
      <c r="G83" s="15" t="inlineStr">
        <is>
          <t>Test design at the limit</t>
        </is>
      </c>
      <c r="H83" s="15" t="inlineStr">
        <is>
          <t>Same as correct answer</t>
        </is>
      </c>
      <c r="I83" s="16" t="n"/>
      <c r="J83" s="16" t="inlineStr">
        <is>
          <t>Pass</t>
        </is>
      </c>
      <c r="K83" s="16" t="n"/>
      <c r="L83" s="17">
        <f>IF(W83="","",W83)</f>
        <v/>
      </c>
      <c r="M83" s="18">
        <f>IF(O83&lt;&gt;"",O83,Y83)</f>
        <v/>
      </c>
      <c r="N83" s="16" t="n"/>
      <c r="O83" s="19" t="n"/>
      <c r="P83" s="19" t="n"/>
      <c r="Q83" s="19" t="n"/>
      <c r="R83" s="20" t="inlineStr">
        <is>
          <t>NBC 2016 Part 4</t>
        </is>
      </c>
      <c r="S83" s="20" t="inlineStr">
        <is>
          <t>NBC 2016</t>
        </is>
      </c>
      <c r="T83" s="20" t="inlineStr">
        <is>
          <t>Exact</t>
        </is>
      </c>
      <c r="U83" s="20" t="n"/>
      <c r="V83" s="20" t="n"/>
      <c r="W83" s="20">
        <f>IF(AND(ISNUMBER(I83),ISNUMBER(J83)),I83-J83,"")</f>
        <v/>
      </c>
      <c r="X83" s="20">
        <f>IF(AND(ISNUMBER(I83),ISNUMBER(J83)),IF(J83=0,"",(I83-J83)/ABS(J83)),"")</f>
        <v/>
      </c>
      <c r="Y83" s="20">
        <f>IF(T83="Advisory","No pass mark",IF(T83="Manual","Claude will check",IF(I83="","Not done yet",IF(T83="Exact",IF(AND(ISNUMBER(I83),ISNUMBER(J83)),IF(ROUND(I83,2)=ROUND(J83,2),"Pass","Fail"),IF(TRIM(LOWER(I83&amp;""))=TRIM(LOWER(J83&amp;"")),"Pass","Fail")),IF(T83="Min",IF(I83&gt;=U83-1E-9,"Pass","Fail"),IF(T83="Between",IF(AND(I83&gt;=U83,I83&lt;=V83),"Pass","Fail"),IF(J83="","Not done yet",IF(T83="±%",IF(X83="","Check correct answer",IF(ABS(X83)*100&lt;=V83+1E-9,"Pass","Fail")),IF(T83="% range",IF(X83="","Check correct answer",IF(AND(X83*100&gt;=U83-1E-9,X83*100&lt;=V83+1E-9),"Pass","Fail")),IF(T83="±abs",IF(ABS(W83)&lt;=V83+1E-9,"Pass","Fail"),"Check type"))))))))))</f>
        <v/>
      </c>
    </row>
    <row r="84">
      <c r="A84" s="15" t="inlineStr">
        <is>
          <t>S3-076</t>
        </is>
      </c>
      <c r="B84" s="15" t="inlineStr">
        <is>
          <t>C</t>
        </is>
      </c>
      <c r="C84" s="15" t="inlineStr">
        <is>
          <t>Fire checks</t>
        </is>
      </c>
      <c r="D84" s="15" t="inlineStr">
        <is>
          <t>Travel distance to exit ≤ 30 m: design that just fails</t>
        </is>
      </c>
      <c r="E84" s="15" t="inlineStr">
        <is>
          <t>Pass/Fail</t>
        </is>
      </c>
      <c r="F84" s="15" t="inlineStr">
        <is>
          <t>Book</t>
        </is>
      </c>
      <c r="G84" s="15" t="inlineStr">
        <is>
          <t>Test design at the limit</t>
        </is>
      </c>
      <c r="H84" s="15" t="inlineStr">
        <is>
          <t>Same as correct answer</t>
        </is>
      </c>
      <c r="I84" s="16" t="n"/>
      <c r="J84" s="16" t="inlineStr">
        <is>
          <t>Fail</t>
        </is>
      </c>
      <c r="K84" s="16" t="n"/>
      <c r="L84" s="17">
        <f>IF(W84="","",W84)</f>
        <v/>
      </c>
      <c r="M84" s="18">
        <f>IF(O84&lt;&gt;"",O84,Y84)</f>
        <v/>
      </c>
      <c r="N84" s="16" t="n"/>
      <c r="O84" s="19" t="n"/>
      <c r="P84" s="19" t="n"/>
      <c r="Q84" s="19" t="n"/>
      <c r="R84" s="20" t="inlineStr">
        <is>
          <t>NBC 2016 Part 4</t>
        </is>
      </c>
      <c r="S84" s="20" t="inlineStr">
        <is>
          <t>NBC 2016</t>
        </is>
      </c>
      <c r="T84" s="20" t="inlineStr">
        <is>
          <t>Exact</t>
        </is>
      </c>
      <c r="U84" s="20" t="n"/>
      <c r="V84" s="20" t="n"/>
      <c r="W84" s="20">
        <f>IF(AND(ISNUMBER(I84),ISNUMBER(J84)),I84-J84,"")</f>
        <v/>
      </c>
      <c r="X84" s="20">
        <f>IF(AND(ISNUMBER(I84),ISNUMBER(J84)),IF(J84=0,"",(I84-J84)/ABS(J84)),"")</f>
        <v/>
      </c>
      <c r="Y84" s="20">
        <f>IF(T84="Advisory","No pass mark",IF(T84="Manual","Claude will check",IF(I84="","Not done yet",IF(T84="Exact",IF(AND(ISNUMBER(I84),ISNUMBER(J84)),IF(ROUND(I84,2)=ROUND(J84,2),"Pass","Fail"),IF(TRIM(LOWER(I84&amp;""))=TRIM(LOWER(J84&amp;"")),"Pass","Fail")),IF(T84="Min",IF(I84&gt;=U84-1E-9,"Pass","Fail"),IF(T84="Between",IF(AND(I84&gt;=U84,I84&lt;=V84),"Pass","Fail"),IF(J84="","Not done yet",IF(T84="±%",IF(X84="","Check correct answer",IF(ABS(X84)*100&lt;=V84+1E-9,"Pass","Fail")),IF(T84="% range",IF(X84="","Check correct answer",IF(AND(X84*100&gt;=U84-1E-9,X84*100&lt;=V84+1E-9),"Pass","Fail")),IF(T84="±abs",IF(ABS(W84)&lt;=V84+1E-9,"Pass","Fail"),"Check type"))))))))))</f>
        <v/>
      </c>
    </row>
    <row r="85">
      <c r="A85" s="15" t="inlineStr">
        <is>
          <t>S3-077</t>
        </is>
      </c>
      <c r="B85" s="15" t="inlineStr">
        <is>
          <t>C</t>
        </is>
      </c>
      <c r="C85" s="15" t="inlineStr">
        <is>
          <t>Fire checks</t>
        </is>
      </c>
      <c r="D85" s="15" t="inlineStr">
        <is>
          <t>RERA project P1: app's fire verdict vs approved plan</t>
        </is>
      </c>
      <c r="E85" s="15" t="inlineStr">
        <is>
          <t>Pass/Fail</t>
        </is>
      </c>
      <c r="F85" s="15" t="inlineStr">
        <is>
          <t>Real</t>
        </is>
      </c>
      <c r="G85" s="15" t="inlineStr">
        <is>
          <t>Stairs, refuge floors and fire lifts on sanctioned plan</t>
        </is>
      </c>
      <c r="H85" s="15" t="inlineStr">
        <is>
          <t>Same as correct answer</t>
        </is>
      </c>
      <c r="I85" s="16" t="n"/>
      <c r="J85" s="16" t="inlineStr">
        <is>
          <t>Pass</t>
        </is>
      </c>
      <c r="K85" s="16" t="n"/>
      <c r="L85" s="17">
        <f>IF(W85="","",W85)</f>
        <v/>
      </c>
      <c r="M85" s="18">
        <f>IF(O85&lt;&gt;"",O85,Y85)</f>
        <v/>
      </c>
      <c r="N85" s="16" t="n"/>
      <c r="O85" s="19" t="n"/>
      <c r="P85" s="19" t="n"/>
      <c r="Q85" s="19" t="n"/>
      <c r="R85" s="20" t="inlineStr">
        <is>
          <t>NBC 2016 Part 4</t>
        </is>
      </c>
      <c r="S85" s="20" t="inlineStr">
        <is>
          <t>NBC 2016</t>
        </is>
      </c>
      <c r="T85" s="20" t="inlineStr">
        <is>
          <t>Exact</t>
        </is>
      </c>
      <c r="U85" s="20" t="n"/>
      <c r="V85" s="20" t="n"/>
      <c r="W85" s="20">
        <f>IF(AND(ISNUMBER(I85),ISNUMBER(J85)),I85-J85,"")</f>
        <v/>
      </c>
      <c r="X85" s="20">
        <f>IF(AND(ISNUMBER(I85),ISNUMBER(J85)),IF(J85=0,"",(I85-J85)/ABS(J85)),"")</f>
        <v/>
      </c>
      <c r="Y85" s="20">
        <f>IF(T85="Advisory","No pass mark",IF(T85="Manual","Claude will check",IF(I85="","Not done yet",IF(T85="Exact",IF(AND(ISNUMBER(I85),ISNUMBER(J85)),IF(ROUND(I85,2)=ROUND(J85,2),"Pass","Fail"),IF(TRIM(LOWER(I85&amp;""))=TRIM(LOWER(J85&amp;"")),"Pass","Fail")),IF(T85="Min",IF(I85&gt;=U85-1E-9,"Pass","Fail"),IF(T85="Between",IF(AND(I85&gt;=U85,I85&lt;=V85),"Pass","Fail"),IF(J85="","Not done yet",IF(T85="±%",IF(X85="","Check correct answer",IF(ABS(X85)*100&lt;=V85+1E-9,"Pass","Fail")),IF(T85="% range",IF(X85="","Check correct answer",IF(AND(X85*100&gt;=U85-1E-9,X85*100&lt;=V85+1E-9),"Pass","Fail")),IF(T85="±abs",IF(ABS(W85)&lt;=V85+1E-9,"Pass","Fail"),"Check type"))))))))))</f>
        <v/>
      </c>
    </row>
    <row r="86">
      <c r="A86" s="15" t="inlineStr">
        <is>
          <t>S3-078</t>
        </is>
      </c>
      <c r="B86" s="15" t="inlineStr">
        <is>
          <t>C</t>
        </is>
      </c>
      <c r="C86" s="15" t="inlineStr">
        <is>
          <t>Fire checks</t>
        </is>
      </c>
      <c r="D86" s="15" t="inlineStr">
        <is>
          <t>RERA project P2: app's fire verdict vs approved plan</t>
        </is>
      </c>
      <c r="E86" s="15" t="inlineStr">
        <is>
          <t>Pass/Fail</t>
        </is>
      </c>
      <c r="F86" s="15" t="inlineStr">
        <is>
          <t>Real</t>
        </is>
      </c>
      <c r="G86" s="15" t="inlineStr">
        <is>
          <t>Stairs, refuge floors and fire lifts on sanctioned plan</t>
        </is>
      </c>
      <c r="H86" s="15" t="inlineStr">
        <is>
          <t>Same as correct answer</t>
        </is>
      </c>
      <c r="I86" s="16" t="n"/>
      <c r="J86" s="16" t="inlineStr">
        <is>
          <t>Pass</t>
        </is>
      </c>
      <c r="K86" s="16" t="n"/>
      <c r="L86" s="17">
        <f>IF(W86="","",W86)</f>
        <v/>
      </c>
      <c r="M86" s="18">
        <f>IF(O86&lt;&gt;"",O86,Y86)</f>
        <v/>
      </c>
      <c r="N86" s="16" t="n"/>
      <c r="O86" s="19" t="n"/>
      <c r="P86" s="19" t="n"/>
      <c r="Q86" s="19" t="n"/>
      <c r="R86" s="20" t="inlineStr">
        <is>
          <t>NBC 2016 Part 4</t>
        </is>
      </c>
      <c r="S86" s="20" t="inlineStr">
        <is>
          <t>NBC 2016</t>
        </is>
      </c>
      <c r="T86" s="20" t="inlineStr">
        <is>
          <t>Exact</t>
        </is>
      </c>
      <c r="U86" s="20" t="n"/>
      <c r="V86" s="20" t="n"/>
      <c r="W86" s="20">
        <f>IF(AND(ISNUMBER(I86),ISNUMBER(J86)),I86-J86,"")</f>
        <v/>
      </c>
      <c r="X86" s="20">
        <f>IF(AND(ISNUMBER(I86),ISNUMBER(J86)),IF(J86=0,"",(I86-J86)/ABS(J86)),"")</f>
        <v/>
      </c>
      <c r="Y86" s="20">
        <f>IF(T86="Advisory","No pass mark",IF(T86="Manual","Claude will check",IF(I86="","Not done yet",IF(T86="Exact",IF(AND(ISNUMBER(I86),ISNUMBER(J86)),IF(ROUND(I86,2)=ROUND(J86,2),"Pass","Fail"),IF(TRIM(LOWER(I86&amp;""))=TRIM(LOWER(J86&amp;"")),"Pass","Fail")),IF(T86="Min",IF(I86&gt;=U86-1E-9,"Pass","Fail"),IF(T86="Between",IF(AND(I86&gt;=U86,I86&lt;=V86),"Pass","Fail"),IF(J86="","Not done yet",IF(T86="±%",IF(X86="","Check correct answer",IF(ABS(X86)*100&lt;=V86+1E-9,"Pass","Fail")),IF(T86="% range",IF(X86="","Check correct answer",IF(AND(X86*100&gt;=U86-1E-9,X86*100&lt;=V86+1E-9),"Pass","Fail")),IF(T86="±abs",IF(ABS(W86)&lt;=V86+1E-9,"Pass","Fail"),"Check type"))))))))))</f>
        <v/>
      </c>
    </row>
    <row r="87">
      <c r="A87" s="15" t="inlineStr">
        <is>
          <t>S3-079</t>
        </is>
      </c>
      <c r="B87" s="15" t="inlineStr">
        <is>
          <t>C</t>
        </is>
      </c>
      <c r="C87" s="15" t="inlineStr">
        <is>
          <t>Fire checks</t>
        </is>
      </c>
      <c r="D87" s="15" t="inlineStr">
        <is>
          <t>RERA project P3: app's fire verdict vs approved plan</t>
        </is>
      </c>
      <c r="E87" s="15" t="inlineStr">
        <is>
          <t>Pass/Fail</t>
        </is>
      </c>
      <c r="F87" s="15" t="inlineStr">
        <is>
          <t>Real</t>
        </is>
      </c>
      <c r="G87" s="15" t="inlineStr">
        <is>
          <t>Stairs, refuge floors and fire lifts on sanctioned plan</t>
        </is>
      </c>
      <c r="H87" s="15" t="inlineStr">
        <is>
          <t>Same as correct answer</t>
        </is>
      </c>
      <c r="I87" s="16" t="n"/>
      <c r="J87" s="16" t="inlineStr">
        <is>
          <t>Pass</t>
        </is>
      </c>
      <c r="K87" s="16" t="n"/>
      <c r="L87" s="17">
        <f>IF(W87="","",W87)</f>
        <v/>
      </c>
      <c r="M87" s="18">
        <f>IF(O87&lt;&gt;"",O87,Y87)</f>
        <v/>
      </c>
      <c r="N87" s="16" t="n"/>
      <c r="O87" s="19" t="n"/>
      <c r="P87" s="19" t="n"/>
      <c r="Q87" s="19" t="n"/>
      <c r="R87" s="20" t="inlineStr">
        <is>
          <t>NBC 2016 Part 4</t>
        </is>
      </c>
      <c r="S87" s="20" t="inlineStr">
        <is>
          <t>NBC 2016</t>
        </is>
      </c>
      <c r="T87" s="20" t="inlineStr">
        <is>
          <t>Exact</t>
        </is>
      </c>
      <c r="U87" s="20" t="n"/>
      <c r="V87" s="20" t="n"/>
      <c r="W87" s="20">
        <f>IF(AND(ISNUMBER(I87),ISNUMBER(J87)),I87-J87,"")</f>
        <v/>
      </c>
      <c r="X87" s="20">
        <f>IF(AND(ISNUMBER(I87),ISNUMBER(J87)),IF(J87=0,"",(I87-J87)/ABS(J87)),"")</f>
        <v/>
      </c>
      <c r="Y87" s="20">
        <f>IF(T87="Advisory","No pass mark",IF(T87="Manual","Claude will check",IF(I87="","Not done yet",IF(T87="Exact",IF(AND(ISNUMBER(I87),ISNUMBER(J87)),IF(ROUND(I87,2)=ROUND(J87,2),"Pass","Fail"),IF(TRIM(LOWER(I87&amp;""))=TRIM(LOWER(J87&amp;"")),"Pass","Fail")),IF(T87="Min",IF(I87&gt;=U87-1E-9,"Pass","Fail"),IF(T87="Between",IF(AND(I87&gt;=U87,I87&lt;=V87),"Pass","Fail"),IF(J87="","Not done yet",IF(T87="±%",IF(X87="","Check correct answer",IF(ABS(X87)*100&lt;=V87+1E-9,"Pass","Fail")),IF(T87="% range",IF(X87="","Check correct answer",IF(AND(X87*100&gt;=U87-1E-9,X87*100&lt;=V87+1E-9),"Pass","Fail")),IF(T87="±abs",IF(ABS(W87)&lt;=V87+1E-9,"Pass","Fail"),"Check type"))))))))))</f>
        <v/>
      </c>
    </row>
    <row r="88">
      <c r="A88" s="15" t="inlineStr">
        <is>
          <t>S3-080</t>
        </is>
      </c>
      <c r="B88" s="15" t="inlineStr">
        <is>
          <t>C</t>
        </is>
      </c>
      <c r="C88" s="15" t="inlineStr">
        <is>
          <t>Fire checks</t>
        </is>
      </c>
      <c r="D88" s="15" t="inlineStr">
        <is>
          <t>RERA project P4: app's fire verdict vs approved plan</t>
        </is>
      </c>
      <c r="E88" s="15" t="inlineStr">
        <is>
          <t>Pass/Fail</t>
        </is>
      </c>
      <c r="F88" s="15" t="inlineStr">
        <is>
          <t>Real</t>
        </is>
      </c>
      <c r="G88" s="15" t="inlineStr">
        <is>
          <t>Stairs, refuge floors and fire lifts on sanctioned plan</t>
        </is>
      </c>
      <c r="H88" s="15" t="inlineStr">
        <is>
          <t>Same as correct answer</t>
        </is>
      </c>
      <c r="I88" s="16" t="n"/>
      <c r="J88" s="16" t="inlineStr">
        <is>
          <t>Pass</t>
        </is>
      </c>
      <c r="K88" s="16" t="n"/>
      <c r="L88" s="17">
        <f>IF(W88="","",W88)</f>
        <v/>
      </c>
      <c r="M88" s="18">
        <f>IF(O88&lt;&gt;"",O88,Y88)</f>
        <v/>
      </c>
      <c r="N88" s="16" t="n"/>
      <c r="O88" s="19" t="n"/>
      <c r="P88" s="19" t="n"/>
      <c r="Q88" s="19" t="n"/>
      <c r="R88" s="20" t="inlineStr">
        <is>
          <t>NBC 2016 Part 4</t>
        </is>
      </c>
      <c r="S88" s="20" t="inlineStr">
        <is>
          <t>NBC 2016</t>
        </is>
      </c>
      <c r="T88" s="20" t="inlineStr">
        <is>
          <t>Exact</t>
        </is>
      </c>
      <c r="U88" s="20" t="n"/>
      <c r="V88" s="20" t="n"/>
      <c r="W88" s="20">
        <f>IF(AND(ISNUMBER(I88),ISNUMBER(J88)),I88-J88,"")</f>
        <v/>
      </c>
      <c r="X88" s="20">
        <f>IF(AND(ISNUMBER(I88),ISNUMBER(J88)),IF(J88=0,"",(I88-J88)/ABS(J88)),"")</f>
        <v/>
      </c>
      <c r="Y88" s="20">
        <f>IF(T88="Advisory","No pass mark",IF(T88="Manual","Claude will check",IF(I88="","Not done yet",IF(T88="Exact",IF(AND(ISNUMBER(I88),ISNUMBER(J88)),IF(ROUND(I88,2)=ROUND(J88,2),"Pass","Fail"),IF(TRIM(LOWER(I88&amp;""))=TRIM(LOWER(J88&amp;"")),"Pass","Fail")),IF(T88="Min",IF(I88&gt;=U88-1E-9,"Pass","Fail"),IF(T88="Between",IF(AND(I88&gt;=U88,I88&lt;=V88),"Pass","Fail"),IF(J88="","Not done yet",IF(T88="±%",IF(X88="","Check correct answer",IF(ABS(X88)*100&lt;=V88+1E-9,"Pass","Fail")),IF(T88="% range",IF(X88="","Check correct answer",IF(AND(X88*100&gt;=U88-1E-9,X88*100&lt;=V88+1E-9),"Pass","Fail")),IF(T88="±abs",IF(ABS(W88)&lt;=V88+1E-9,"Pass","Fail"),"Check type"))))))))))</f>
        <v/>
      </c>
    </row>
    <row r="89">
      <c r="A89" s="15" t="inlineStr">
        <is>
          <t>S3-081</t>
        </is>
      </c>
      <c r="B89" s="15" t="inlineStr">
        <is>
          <t>C</t>
        </is>
      </c>
      <c r="C89" s="15" t="inlineStr">
        <is>
          <t>Fire checks</t>
        </is>
      </c>
      <c r="D89" s="15" t="inlineStr">
        <is>
          <t>RERA project P5: app's fire verdict vs approved plan</t>
        </is>
      </c>
      <c r="E89" s="15" t="inlineStr">
        <is>
          <t>Pass/Fail</t>
        </is>
      </c>
      <c r="F89" s="15" t="inlineStr">
        <is>
          <t>Real</t>
        </is>
      </c>
      <c r="G89" s="15" t="inlineStr">
        <is>
          <t>Stairs, refuge floors and fire lifts on sanctioned plan</t>
        </is>
      </c>
      <c r="H89" s="15" t="inlineStr">
        <is>
          <t>Same as correct answer</t>
        </is>
      </c>
      <c r="I89" s="16" t="n"/>
      <c r="J89" s="16" t="inlineStr">
        <is>
          <t>Pass</t>
        </is>
      </c>
      <c r="K89" s="16" t="n"/>
      <c r="L89" s="17">
        <f>IF(W89="","",W89)</f>
        <v/>
      </c>
      <c r="M89" s="18">
        <f>IF(O89&lt;&gt;"",O89,Y89)</f>
        <v/>
      </c>
      <c r="N89" s="16" t="n"/>
      <c r="O89" s="19" t="n"/>
      <c r="P89" s="19" t="n"/>
      <c r="Q89" s="19" t="n"/>
      <c r="R89" s="20" t="inlineStr">
        <is>
          <t>NBC 2016 Part 4</t>
        </is>
      </c>
      <c r="S89" s="20" t="inlineStr">
        <is>
          <t>NBC 2016</t>
        </is>
      </c>
      <c r="T89" s="20" t="inlineStr">
        <is>
          <t>Exact</t>
        </is>
      </c>
      <c r="U89" s="20" t="n"/>
      <c r="V89" s="20" t="n"/>
      <c r="W89" s="20">
        <f>IF(AND(ISNUMBER(I89),ISNUMBER(J89)),I89-J89,"")</f>
        <v/>
      </c>
      <c r="X89" s="20">
        <f>IF(AND(ISNUMBER(I89),ISNUMBER(J89)),IF(J89=0,"",(I89-J89)/ABS(J89)),"")</f>
        <v/>
      </c>
      <c r="Y89" s="20">
        <f>IF(T89="Advisory","No pass mark",IF(T89="Manual","Claude will check",IF(I89="","Not done yet",IF(T89="Exact",IF(AND(ISNUMBER(I89),ISNUMBER(J89)),IF(ROUND(I89,2)=ROUND(J89,2),"Pass","Fail"),IF(TRIM(LOWER(I89&amp;""))=TRIM(LOWER(J89&amp;"")),"Pass","Fail")),IF(T89="Min",IF(I89&gt;=U89-1E-9,"Pass","Fail"),IF(T89="Between",IF(AND(I89&gt;=U89,I89&lt;=V89),"Pass","Fail"),IF(J89="","Not done yet",IF(T89="±%",IF(X89="","Check correct answer",IF(ABS(X89)*100&lt;=V89+1E-9,"Pass","Fail")),IF(T89="% range",IF(X89="","Check correct answer",IF(AND(X89*100&gt;=U89-1E-9,X89*100&lt;=V89+1E-9),"Pass","Fail")),IF(T89="±abs",IF(ABS(W89)&lt;=V89+1E-9,"Pass","Fail"),"Check type"))))))))))</f>
        <v/>
      </c>
    </row>
  </sheetData>
  <autoFilter ref="A5:Q89"/>
  <mergeCells count="1">
    <mergeCell ref="A2:N3"/>
  </mergeCells>
  <conditionalFormatting sqref="M6:M189">
    <cfRule type="cellIs" priority="1" operator="equal" dxfId="1">
      <formula>"Pass"</formula>
    </cfRule>
    <cfRule type="cellIs" priority="2" operator="equal" dxfId="2">
      <formula>"Fail"</formula>
    </cfRule>
  </conditionalFormatting>
  <dataValidations count="3">
    <dataValidation sqref="I77 I78 I79 I80 I81 I82 I83 I84 I85 I86 I87 I88 I89" showDropDown="0" showInputMessage="0" showErrorMessage="0" allowBlank="1" type="list">
      <formula1>"Pass,Fail"</formula1>
    </dataValidation>
    <dataValidation sqref="O6:O189" showDropDown="0" showInputMessage="0" showErrorMessage="0" allowBlank="1" type="list">
      <formula1>"Pass,Fail,Not tested"</formula1>
    </dataValidation>
    <dataValidation sqref="Q6:Q189" showDropDown="0" showInputMessage="0" showErrorMessage="0" allowBlank="1" type="list">
      <formula1>"App bug (our code),We entered wrong input,Measured a different way,Not sure the book/RERA value is right,Limit of the app's method"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8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8" customWidth="1" min="3" max="3"/>
    <col width="46" customWidth="1" min="4" max="4"/>
    <col width="10" customWidth="1" min="5" max="5"/>
    <col width="8" customWidth="1" min="6" max="6"/>
    <col width="30" customWidth="1" min="7" max="7"/>
    <col width="24" customWidth="1" min="8" max="8"/>
    <col width="13" customWidth="1" min="9" max="9"/>
    <col width="13" customWidth="1" min="10" max="10"/>
    <col width="28" customWidth="1" min="11" max="11"/>
    <col width="10" customWidth="1" min="12" max="12"/>
    <col width="13" customWidth="1" min="13" max="13"/>
    <col width="30" customWidth="1" min="14" max="14"/>
    <col width="11" customWidth="1" min="15" max="15"/>
    <col width="11" customWidth="1" min="16" max="16"/>
    <col width="18" customWidth="1" min="17" max="17"/>
    <col hidden="1" outlineLevel="1" width="24" customWidth="1" min="18" max="25"/>
  </cols>
  <sheetData>
    <row r="1">
      <c r="A1" s="4" t="inlineStr">
        <is>
          <t>Stage 4 Cost and Programme (weeks 8 to 9)</t>
        </is>
      </c>
    </row>
    <row r="2" ht="22" customHeight="1">
      <c r="A2" s="10" t="inlineStr">
        <is>
          <t>HOW TO FILL:  1) Find your letter.  2) Run the test in the app and type its answer in App answer.  3) Type the correct answer from the book or RERA in Correct answer (some are already filled).  4) Write where you got it.  5) Result fills itself. Don't change grey cells.</t>
        </is>
      </c>
    </row>
    <row r="3" ht="22" customHeight="1"/>
    <row r="4">
      <c r="A4" s="11" t="inlineStr">
        <is>
          <t>Yellow = you fill  ·  Grey = fixed plan, don't change  ·  Blue = Claude fills  ·  Click + above column R to see technical details</t>
        </is>
      </c>
    </row>
    <row r="5" ht="42" customHeight="1">
      <c r="A5" s="6" t="inlineStr">
        <is>
          <t>#</t>
        </is>
      </c>
      <c r="B5" s="6" t="inlineStr">
        <is>
          <t>Who</t>
        </is>
      </c>
      <c r="C5" s="6" t="inlineStr">
        <is>
          <t>Topic</t>
        </is>
      </c>
      <c r="D5" s="6" t="inlineStr">
        <is>
          <t>What to test</t>
        </is>
      </c>
      <c r="E5" s="6" t="inlineStr">
        <is>
          <t>Unit</t>
        </is>
      </c>
      <c r="F5" s="6" t="inlineStr">
        <is>
          <t>Type</t>
        </is>
      </c>
      <c r="G5" s="6" t="inlineStr">
        <is>
          <t>Compare with</t>
        </is>
      </c>
      <c r="H5" s="6" t="inlineStr">
        <is>
          <t>Pass if</t>
        </is>
      </c>
      <c r="I5" s="6" t="inlineStr">
        <is>
          <t>App answer</t>
        </is>
      </c>
      <c r="J5" s="6" t="inlineStr">
        <is>
          <t>Correct answer</t>
        </is>
      </c>
      <c r="K5" s="6" t="inlineStr">
        <is>
          <t>Where you got it (book + page, or RERA no.)</t>
        </is>
      </c>
      <c r="L5" s="6" t="inlineStr">
        <is>
          <t>Off by</t>
        </is>
      </c>
      <c r="M5" s="6" t="inlineStr">
        <is>
          <t>Result</t>
        </is>
      </c>
      <c r="N5" s="6" t="inlineStr">
        <is>
          <t>Notes</t>
        </is>
      </c>
      <c r="O5" s="12" t="inlineStr">
        <is>
          <t>Claude: override</t>
        </is>
      </c>
      <c r="P5" s="12" t="inlineStr">
        <is>
          <t>Claude: first-run result</t>
        </is>
      </c>
      <c r="Q5" s="12" t="inlineStr">
        <is>
          <t>Claude: why it failed</t>
        </is>
      </c>
      <c r="R5" s="6" t="inlineStr">
        <is>
          <t>Code / clause</t>
        </is>
      </c>
      <c r="S5" s="6" t="inlineStr">
        <is>
          <t>Edition</t>
        </is>
      </c>
      <c r="T5" s="6" t="inlineStr">
        <is>
          <t>Tol type</t>
        </is>
      </c>
      <c r="U5" s="6" t="inlineStr">
        <is>
          <t>Tol low</t>
        </is>
      </c>
      <c r="V5" s="6" t="inlineStr">
        <is>
          <t>Tol high</t>
        </is>
      </c>
      <c r="W5" s="6" t="inlineStr">
        <is>
          <t>Difference</t>
        </is>
      </c>
      <c r="X5" s="6" t="inlineStr">
        <is>
          <t>Error %</t>
        </is>
      </c>
      <c r="Y5" s="6" t="inlineStr">
        <is>
          <t>Auto result</t>
        </is>
      </c>
    </row>
    <row r="6">
      <c r="A6" s="13" t="n"/>
      <c r="B6" s="14" t="inlineStr">
        <is>
          <t>A's tests (36)</t>
        </is>
      </c>
      <c r="C6" s="13" t="n"/>
      <c r="D6" s="13" t="n"/>
      <c r="E6" s="13" t="n"/>
      <c r="F6" s="13" t="n"/>
      <c r="G6" s="13" t="n"/>
      <c r="H6" s="13" t="n"/>
      <c r="I6" s="13" t="n"/>
      <c r="J6" s="13" t="n"/>
      <c r="K6" s="13" t="n"/>
      <c r="L6" s="13" t="n"/>
      <c r="M6" s="13" t="n"/>
      <c r="N6" s="13" t="n"/>
      <c r="O6" s="13" t="n"/>
      <c r="P6" s="13" t="n"/>
      <c r="Q6" s="13" t="n"/>
    </row>
    <row r="7">
      <c r="A7" s="15" t="inlineStr">
        <is>
          <t>S4-001</t>
        </is>
      </c>
      <c r="B7" s="15" t="inlineStr">
        <is>
          <t>A</t>
        </is>
      </c>
      <c r="C7" s="15" t="inlineStr">
        <is>
          <t>Quantities</t>
        </is>
      </c>
      <c r="D7" s="15" t="inlineStr">
        <is>
          <t>B.N. Dutta example 1: concrete quantity</t>
        </is>
      </c>
      <c r="E7" s="15" t="inlineStr">
        <is>
          <t>m³</t>
        </is>
      </c>
      <c r="F7" s="15" t="inlineStr">
        <is>
          <t>Book</t>
        </is>
      </c>
      <c r="G7" s="15" t="inlineStr">
        <is>
          <t>B.N. Dutta, Estimating and Costing</t>
        </is>
      </c>
      <c r="H7" s="15" t="inlineStr">
        <is>
          <t>Within 5% of correct answer</t>
        </is>
      </c>
      <c r="I7" s="16" t="n"/>
      <c r="J7" s="16" t="n"/>
      <c r="K7" s="16" t="n"/>
      <c r="L7" s="25">
        <f>IF(X7="","",X7)</f>
        <v/>
      </c>
      <c r="M7" s="18">
        <f>IF(O7&lt;&gt;"",O7,Y7)</f>
        <v/>
      </c>
      <c r="N7" s="16" t="n"/>
      <c r="O7" s="19" t="n"/>
      <c r="P7" s="19" t="n"/>
      <c r="Q7" s="19" t="n"/>
      <c r="R7" s="20" t="inlineStr">
        <is>
          <t>IS 1200</t>
        </is>
      </c>
      <c r="S7" s="20" t="inlineStr">
        <is>
          <t>n/a</t>
        </is>
      </c>
      <c r="T7" s="20" t="inlineStr">
        <is>
          <t>±%</t>
        </is>
      </c>
      <c r="U7" s="20" t="n"/>
      <c r="V7" s="20" t="n">
        <v>5</v>
      </c>
      <c r="W7" s="20">
        <f>IF(AND(ISNUMBER(I7),ISNUMBER(J7)),I7-J7,"")</f>
        <v/>
      </c>
      <c r="X7" s="20">
        <f>IF(AND(ISNUMBER(I7),ISNUMBER(J7)),IF(J7=0,"",(I7-J7)/ABS(J7)),"")</f>
        <v/>
      </c>
      <c r="Y7" s="20">
        <f>IF(T7="Advisory","No pass mark",IF(T7="Manual","Claude will check",IF(I7="","Not done yet",IF(T7="Exact",IF(AND(ISNUMBER(I7),ISNUMBER(J7)),IF(ROUND(I7,2)=ROUND(J7,2),"Pass","Fail"),IF(TRIM(LOWER(I7&amp;""))=TRIM(LOWER(J7&amp;"")),"Pass","Fail")),IF(T7="Min",IF(I7&gt;=U7-1E-9,"Pass","Fail"),IF(T7="Between",IF(AND(I7&gt;=U7,I7&lt;=V7),"Pass","Fail"),IF(J7="","Not done yet",IF(T7="±%",IF(X7="","Check correct answer",IF(ABS(X7)*100&lt;=V7+1E-9,"Pass","Fail")),IF(T7="% range",IF(X7="","Check correct answer",IF(AND(X7*100&gt;=U7-1E-9,X7*100&lt;=V7+1E-9),"Pass","Fail")),IF(T7="±abs",IF(ABS(W7)&lt;=V7+1E-9,"Pass","Fail"),"Check type"))))))))))</f>
        <v/>
      </c>
    </row>
    <row r="8">
      <c r="A8" s="15" t="inlineStr">
        <is>
          <t>S4-002</t>
        </is>
      </c>
      <c r="B8" s="15" t="inlineStr">
        <is>
          <t>A</t>
        </is>
      </c>
      <c r="C8" s="15" t="inlineStr">
        <is>
          <t>Quantities</t>
        </is>
      </c>
      <c r="D8" s="15" t="inlineStr">
        <is>
          <t>B.N. Dutta example 1: steel quantity</t>
        </is>
      </c>
      <c r="E8" s="15" t="inlineStr">
        <is>
          <t>kg</t>
        </is>
      </c>
      <c r="F8" s="15" t="inlineStr">
        <is>
          <t>Book</t>
        </is>
      </c>
      <c r="G8" s="15" t="inlineStr">
        <is>
          <t>B.N. Dutta, Estimating and Costing</t>
        </is>
      </c>
      <c r="H8" s="15" t="inlineStr">
        <is>
          <t>Within 10% of correct answer</t>
        </is>
      </c>
      <c r="I8" s="16" t="n"/>
      <c r="J8" s="16" t="n"/>
      <c r="K8" s="16" t="n"/>
      <c r="L8" s="25">
        <f>IF(X8="","",X8)</f>
        <v/>
      </c>
      <c r="M8" s="18">
        <f>IF(O8&lt;&gt;"",O8,Y8)</f>
        <v/>
      </c>
      <c r="N8" s="16" t="n"/>
      <c r="O8" s="19" t="n"/>
      <c r="P8" s="19" t="n"/>
      <c r="Q8" s="19" t="n"/>
      <c r="R8" s="20" t="inlineStr">
        <is>
          <t>IS 1200</t>
        </is>
      </c>
      <c r="S8" s="20" t="inlineStr">
        <is>
          <t>n/a</t>
        </is>
      </c>
      <c r="T8" s="20" t="inlineStr">
        <is>
          <t>±%</t>
        </is>
      </c>
      <c r="U8" s="20" t="n"/>
      <c r="V8" s="20" t="n">
        <v>10</v>
      </c>
      <c r="W8" s="20">
        <f>IF(AND(ISNUMBER(I8),ISNUMBER(J8)),I8-J8,"")</f>
        <v/>
      </c>
      <c r="X8" s="20">
        <f>IF(AND(ISNUMBER(I8),ISNUMBER(J8)),IF(J8=0,"",(I8-J8)/ABS(J8)),"")</f>
        <v/>
      </c>
      <c r="Y8" s="20">
        <f>IF(T8="Advisory","No pass mark",IF(T8="Manual","Claude will check",IF(I8="","Not done yet",IF(T8="Exact",IF(AND(ISNUMBER(I8),ISNUMBER(J8)),IF(ROUND(I8,2)=ROUND(J8,2),"Pass","Fail"),IF(TRIM(LOWER(I8&amp;""))=TRIM(LOWER(J8&amp;"")),"Pass","Fail")),IF(T8="Min",IF(I8&gt;=U8-1E-9,"Pass","Fail"),IF(T8="Between",IF(AND(I8&gt;=U8,I8&lt;=V8),"Pass","Fail"),IF(J8="","Not done yet",IF(T8="±%",IF(X8="","Check correct answer",IF(ABS(X8)*100&lt;=V8+1E-9,"Pass","Fail")),IF(T8="% range",IF(X8="","Check correct answer",IF(AND(X8*100&gt;=U8-1E-9,X8*100&lt;=V8+1E-9),"Pass","Fail")),IF(T8="±abs",IF(ABS(W8)&lt;=V8+1E-9,"Pass","Fail"),"Check type"))))))))))</f>
        <v/>
      </c>
    </row>
    <row r="9">
      <c r="A9" s="15" t="inlineStr">
        <is>
          <t>S4-003</t>
        </is>
      </c>
      <c r="B9" s="15" t="inlineStr">
        <is>
          <t>A</t>
        </is>
      </c>
      <c r="C9" s="15" t="inlineStr">
        <is>
          <t>Quantities</t>
        </is>
      </c>
      <c r="D9" s="15" t="inlineStr">
        <is>
          <t>B.N. Dutta example 1: masonry quantity</t>
        </is>
      </c>
      <c r="E9" s="15" t="inlineStr">
        <is>
          <t>m³</t>
        </is>
      </c>
      <c r="F9" s="15" t="inlineStr">
        <is>
          <t>Book</t>
        </is>
      </c>
      <c r="G9" s="15" t="inlineStr">
        <is>
          <t>B.N. Dutta, Estimating and Costing</t>
        </is>
      </c>
      <c r="H9" s="15" t="inlineStr">
        <is>
          <t>Within 7% of correct answer</t>
        </is>
      </c>
      <c r="I9" s="16" t="n"/>
      <c r="J9" s="16" t="n"/>
      <c r="K9" s="16" t="n"/>
      <c r="L9" s="25">
        <f>IF(X9="","",X9)</f>
        <v/>
      </c>
      <c r="M9" s="18">
        <f>IF(O9&lt;&gt;"",O9,Y9)</f>
        <v/>
      </c>
      <c r="N9" s="16" t="n"/>
      <c r="O9" s="19" t="n"/>
      <c r="P9" s="19" t="n"/>
      <c r="Q9" s="19" t="n"/>
      <c r="R9" s="20" t="inlineStr">
        <is>
          <t>IS 1200</t>
        </is>
      </c>
      <c r="S9" s="20" t="inlineStr">
        <is>
          <t>n/a</t>
        </is>
      </c>
      <c r="T9" s="20" t="inlineStr">
        <is>
          <t>±%</t>
        </is>
      </c>
      <c r="U9" s="20" t="n"/>
      <c r="V9" s="20" t="n">
        <v>7</v>
      </c>
      <c r="W9" s="20">
        <f>IF(AND(ISNUMBER(I9),ISNUMBER(J9)),I9-J9,"")</f>
        <v/>
      </c>
      <c r="X9" s="20">
        <f>IF(AND(ISNUMBER(I9),ISNUMBER(J9)),IF(J9=0,"",(I9-J9)/ABS(J9)),"")</f>
        <v/>
      </c>
      <c r="Y9" s="20">
        <f>IF(T9="Advisory","No pass mark",IF(T9="Manual","Claude will check",IF(I9="","Not done yet",IF(T9="Exact",IF(AND(ISNUMBER(I9),ISNUMBER(J9)),IF(ROUND(I9,2)=ROUND(J9,2),"Pass","Fail"),IF(TRIM(LOWER(I9&amp;""))=TRIM(LOWER(J9&amp;"")),"Pass","Fail")),IF(T9="Min",IF(I9&gt;=U9-1E-9,"Pass","Fail"),IF(T9="Between",IF(AND(I9&gt;=U9,I9&lt;=V9),"Pass","Fail"),IF(J9="","Not done yet",IF(T9="±%",IF(X9="","Check correct answer",IF(ABS(X9)*100&lt;=V9+1E-9,"Pass","Fail")),IF(T9="% range",IF(X9="","Check correct answer",IF(AND(X9*100&gt;=U9-1E-9,X9*100&lt;=V9+1E-9),"Pass","Fail")),IF(T9="±abs",IF(ABS(W9)&lt;=V9+1E-9,"Pass","Fail"),"Check type"))))))))))</f>
        <v/>
      </c>
    </row>
    <row r="10">
      <c r="A10" s="15" t="inlineStr">
        <is>
          <t>S4-004</t>
        </is>
      </c>
      <c r="B10" s="15" t="inlineStr">
        <is>
          <t>A</t>
        </is>
      </c>
      <c r="C10" s="15" t="inlineStr">
        <is>
          <t>Quantities</t>
        </is>
      </c>
      <c r="D10" s="15" t="inlineStr">
        <is>
          <t>B.N. Dutta example 2: concrete quantity</t>
        </is>
      </c>
      <c r="E10" s="15" t="inlineStr">
        <is>
          <t>m³</t>
        </is>
      </c>
      <c r="F10" s="15" t="inlineStr">
        <is>
          <t>Book</t>
        </is>
      </c>
      <c r="G10" s="15" t="inlineStr">
        <is>
          <t>B.N. Dutta, Estimating and Costing</t>
        </is>
      </c>
      <c r="H10" s="15" t="inlineStr">
        <is>
          <t>Within 5% of correct answer</t>
        </is>
      </c>
      <c r="I10" s="16" t="n"/>
      <c r="J10" s="16" t="n"/>
      <c r="K10" s="16" t="n"/>
      <c r="L10" s="25">
        <f>IF(X10="","",X10)</f>
        <v/>
      </c>
      <c r="M10" s="18">
        <f>IF(O10&lt;&gt;"",O10,Y10)</f>
        <v/>
      </c>
      <c r="N10" s="16" t="n"/>
      <c r="O10" s="19" t="n"/>
      <c r="P10" s="19" t="n"/>
      <c r="Q10" s="19" t="n"/>
      <c r="R10" s="20" t="inlineStr">
        <is>
          <t>IS 1200</t>
        </is>
      </c>
      <c r="S10" s="20" t="inlineStr">
        <is>
          <t>n/a</t>
        </is>
      </c>
      <c r="T10" s="20" t="inlineStr">
        <is>
          <t>±%</t>
        </is>
      </c>
      <c r="U10" s="20" t="n"/>
      <c r="V10" s="20" t="n">
        <v>5</v>
      </c>
      <c r="W10" s="20">
        <f>IF(AND(ISNUMBER(I10),ISNUMBER(J10)),I10-J10,"")</f>
        <v/>
      </c>
      <c r="X10" s="20">
        <f>IF(AND(ISNUMBER(I10),ISNUMBER(J10)),IF(J10=0,"",(I10-J10)/ABS(J10)),"")</f>
        <v/>
      </c>
      <c r="Y10" s="20">
        <f>IF(T10="Advisory","No pass mark",IF(T10="Manual","Claude will check",IF(I10="","Not done yet",IF(T10="Exact",IF(AND(ISNUMBER(I10),ISNUMBER(J10)),IF(ROUND(I10,2)=ROUND(J10,2),"Pass","Fail"),IF(TRIM(LOWER(I10&amp;""))=TRIM(LOWER(J10&amp;"")),"Pass","Fail")),IF(T10="Min",IF(I10&gt;=U10-1E-9,"Pass","Fail"),IF(T10="Between",IF(AND(I10&gt;=U10,I10&lt;=V10),"Pass","Fail"),IF(J10="","Not done yet",IF(T10="±%",IF(X10="","Check correct answer",IF(ABS(X10)*100&lt;=V10+1E-9,"Pass","Fail")),IF(T10="% range",IF(X10="","Check correct answer",IF(AND(X10*100&gt;=U10-1E-9,X10*100&lt;=V10+1E-9),"Pass","Fail")),IF(T10="±abs",IF(ABS(W10)&lt;=V10+1E-9,"Pass","Fail"),"Check type"))))))))))</f>
        <v/>
      </c>
    </row>
    <row r="11">
      <c r="A11" s="15" t="inlineStr">
        <is>
          <t>S4-005</t>
        </is>
      </c>
      <c r="B11" s="15" t="inlineStr">
        <is>
          <t>A</t>
        </is>
      </c>
      <c r="C11" s="15" t="inlineStr">
        <is>
          <t>Quantities</t>
        </is>
      </c>
      <c r="D11" s="15" t="inlineStr">
        <is>
          <t>B.N. Dutta example 2: steel quantity</t>
        </is>
      </c>
      <c r="E11" s="15" t="inlineStr">
        <is>
          <t>kg</t>
        </is>
      </c>
      <c r="F11" s="15" t="inlineStr">
        <is>
          <t>Book</t>
        </is>
      </c>
      <c r="G11" s="15" t="inlineStr">
        <is>
          <t>B.N. Dutta, Estimating and Costing</t>
        </is>
      </c>
      <c r="H11" s="15" t="inlineStr">
        <is>
          <t>Within 10% of correct answer</t>
        </is>
      </c>
      <c r="I11" s="16" t="n"/>
      <c r="J11" s="16" t="n"/>
      <c r="K11" s="16" t="n"/>
      <c r="L11" s="25">
        <f>IF(X11="","",X11)</f>
        <v/>
      </c>
      <c r="M11" s="18">
        <f>IF(O11&lt;&gt;"",O11,Y11)</f>
        <v/>
      </c>
      <c r="N11" s="16" t="n"/>
      <c r="O11" s="19" t="n"/>
      <c r="P11" s="19" t="n"/>
      <c r="Q11" s="19" t="n"/>
      <c r="R11" s="20" t="inlineStr">
        <is>
          <t>IS 1200</t>
        </is>
      </c>
      <c r="S11" s="20" t="inlineStr">
        <is>
          <t>n/a</t>
        </is>
      </c>
      <c r="T11" s="20" t="inlineStr">
        <is>
          <t>±%</t>
        </is>
      </c>
      <c r="U11" s="20" t="n"/>
      <c r="V11" s="20" t="n">
        <v>10</v>
      </c>
      <c r="W11" s="20">
        <f>IF(AND(ISNUMBER(I11),ISNUMBER(J11)),I11-J11,"")</f>
        <v/>
      </c>
      <c r="X11" s="20">
        <f>IF(AND(ISNUMBER(I11),ISNUMBER(J11)),IF(J11=0,"",(I11-J11)/ABS(J11)),"")</f>
        <v/>
      </c>
      <c r="Y11" s="20">
        <f>IF(T11="Advisory","No pass mark",IF(T11="Manual","Claude will check",IF(I11="","Not done yet",IF(T11="Exact",IF(AND(ISNUMBER(I11),ISNUMBER(J11)),IF(ROUND(I11,2)=ROUND(J11,2),"Pass","Fail"),IF(TRIM(LOWER(I11&amp;""))=TRIM(LOWER(J11&amp;"")),"Pass","Fail")),IF(T11="Min",IF(I11&gt;=U11-1E-9,"Pass","Fail"),IF(T11="Between",IF(AND(I11&gt;=U11,I11&lt;=V11),"Pass","Fail"),IF(J11="","Not done yet",IF(T11="±%",IF(X11="","Check correct answer",IF(ABS(X11)*100&lt;=V11+1E-9,"Pass","Fail")),IF(T11="% range",IF(X11="","Check correct answer",IF(AND(X11*100&gt;=U11-1E-9,X11*100&lt;=V11+1E-9),"Pass","Fail")),IF(T11="±abs",IF(ABS(W11)&lt;=V11+1E-9,"Pass","Fail"),"Check type"))))))))))</f>
        <v/>
      </c>
    </row>
    <row r="12">
      <c r="A12" s="15" t="inlineStr">
        <is>
          <t>S4-006</t>
        </is>
      </c>
      <c r="B12" s="15" t="inlineStr">
        <is>
          <t>A</t>
        </is>
      </c>
      <c r="C12" s="15" t="inlineStr">
        <is>
          <t>Quantities</t>
        </is>
      </c>
      <c r="D12" s="15" t="inlineStr">
        <is>
          <t>B.N. Dutta example 2: masonry quantity</t>
        </is>
      </c>
      <c r="E12" s="15" t="inlineStr">
        <is>
          <t>m³</t>
        </is>
      </c>
      <c r="F12" s="15" t="inlineStr">
        <is>
          <t>Book</t>
        </is>
      </c>
      <c r="G12" s="15" t="inlineStr">
        <is>
          <t>B.N. Dutta, Estimating and Costing</t>
        </is>
      </c>
      <c r="H12" s="15" t="inlineStr">
        <is>
          <t>Within 7% of correct answer</t>
        </is>
      </c>
      <c r="I12" s="16" t="n"/>
      <c r="J12" s="16" t="n"/>
      <c r="K12" s="16" t="n"/>
      <c r="L12" s="25">
        <f>IF(X12="","",X12)</f>
        <v/>
      </c>
      <c r="M12" s="18">
        <f>IF(O12&lt;&gt;"",O12,Y12)</f>
        <v/>
      </c>
      <c r="N12" s="16" t="n"/>
      <c r="O12" s="19" t="n"/>
      <c r="P12" s="19" t="n"/>
      <c r="Q12" s="19" t="n"/>
      <c r="R12" s="20" t="inlineStr">
        <is>
          <t>IS 1200</t>
        </is>
      </c>
      <c r="S12" s="20" t="inlineStr">
        <is>
          <t>n/a</t>
        </is>
      </c>
      <c r="T12" s="20" t="inlineStr">
        <is>
          <t>±%</t>
        </is>
      </c>
      <c r="U12" s="20" t="n"/>
      <c r="V12" s="20" t="n">
        <v>7</v>
      </c>
      <c r="W12" s="20">
        <f>IF(AND(ISNUMBER(I12),ISNUMBER(J12)),I12-J12,"")</f>
        <v/>
      </c>
      <c r="X12" s="20">
        <f>IF(AND(ISNUMBER(I12),ISNUMBER(J12)),IF(J12=0,"",(I12-J12)/ABS(J12)),"")</f>
        <v/>
      </c>
      <c r="Y12" s="20">
        <f>IF(T12="Advisory","No pass mark",IF(T12="Manual","Claude will check",IF(I12="","Not done yet",IF(T12="Exact",IF(AND(ISNUMBER(I12),ISNUMBER(J12)),IF(ROUND(I12,2)=ROUND(J12,2),"Pass","Fail"),IF(TRIM(LOWER(I12&amp;""))=TRIM(LOWER(J12&amp;"")),"Pass","Fail")),IF(T12="Min",IF(I12&gt;=U12-1E-9,"Pass","Fail"),IF(T12="Between",IF(AND(I12&gt;=U12,I12&lt;=V12),"Pass","Fail"),IF(J12="","Not done yet",IF(T12="±%",IF(X12="","Check correct answer",IF(ABS(X12)*100&lt;=V12+1E-9,"Pass","Fail")),IF(T12="% range",IF(X12="","Check correct answer",IF(AND(X12*100&gt;=U12-1E-9,X12*100&lt;=V12+1E-9),"Pass","Fail")),IF(T12="±abs",IF(ABS(W12)&lt;=V12+1E-9,"Pass","Fail"),"Check type"))))))))))</f>
        <v/>
      </c>
    </row>
    <row r="13">
      <c r="A13" s="15" t="inlineStr">
        <is>
          <t>S4-007</t>
        </is>
      </c>
      <c r="B13" s="15" t="inlineStr">
        <is>
          <t>A</t>
        </is>
      </c>
      <c r="C13" s="15" t="inlineStr">
        <is>
          <t>Quantities</t>
        </is>
      </c>
      <c r="D13" s="15" t="inlineStr">
        <is>
          <t>B.N. Dutta example 3: concrete quantity</t>
        </is>
      </c>
      <c r="E13" s="15" t="inlineStr">
        <is>
          <t>m³</t>
        </is>
      </c>
      <c r="F13" s="15" t="inlineStr">
        <is>
          <t>Book</t>
        </is>
      </c>
      <c r="G13" s="15" t="inlineStr">
        <is>
          <t>B.N. Dutta, Estimating and Costing</t>
        </is>
      </c>
      <c r="H13" s="15" t="inlineStr">
        <is>
          <t>Within 5% of correct answer</t>
        </is>
      </c>
      <c r="I13" s="16" t="n"/>
      <c r="J13" s="16" t="n"/>
      <c r="K13" s="16" t="n"/>
      <c r="L13" s="25">
        <f>IF(X13="","",X13)</f>
        <v/>
      </c>
      <c r="M13" s="18">
        <f>IF(O13&lt;&gt;"",O13,Y13)</f>
        <v/>
      </c>
      <c r="N13" s="16" t="n"/>
      <c r="O13" s="19" t="n"/>
      <c r="P13" s="19" t="n"/>
      <c r="Q13" s="19" t="n"/>
      <c r="R13" s="20" t="inlineStr">
        <is>
          <t>IS 1200</t>
        </is>
      </c>
      <c r="S13" s="20" t="inlineStr">
        <is>
          <t>n/a</t>
        </is>
      </c>
      <c r="T13" s="20" t="inlineStr">
        <is>
          <t>±%</t>
        </is>
      </c>
      <c r="U13" s="20" t="n"/>
      <c r="V13" s="20" t="n">
        <v>5</v>
      </c>
      <c r="W13" s="20">
        <f>IF(AND(ISNUMBER(I13),ISNUMBER(J13)),I13-J13,"")</f>
        <v/>
      </c>
      <c r="X13" s="20">
        <f>IF(AND(ISNUMBER(I13),ISNUMBER(J13)),IF(J13=0,"",(I13-J13)/ABS(J13)),"")</f>
        <v/>
      </c>
      <c r="Y13" s="20">
        <f>IF(T13="Advisory","No pass mark",IF(T13="Manual","Claude will check",IF(I13="","Not done yet",IF(T13="Exact",IF(AND(ISNUMBER(I13),ISNUMBER(J13)),IF(ROUND(I13,2)=ROUND(J13,2),"Pass","Fail"),IF(TRIM(LOWER(I13&amp;""))=TRIM(LOWER(J13&amp;"")),"Pass","Fail")),IF(T13="Min",IF(I13&gt;=U13-1E-9,"Pass","Fail"),IF(T13="Between",IF(AND(I13&gt;=U13,I13&lt;=V13),"Pass","Fail"),IF(J13="","Not done yet",IF(T13="±%",IF(X13="","Check correct answer",IF(ABS(X13)*100&lt;=V13+1E-9,"Pass","Fail")),IF(T13="% range",IF(X13="","Check correct answer",IF(AND(X13*100&gt;=U13-1E-9,X13*100&lt;=V13+1E-9),"Pass","Fail")),IF(T13="±abs",IF(ABS(W13)&lt;=V13+1E-9,"Pass","Fail"),"Check type"))))))))))</f>
        <v/>
      </c>
    </row>
    <row r="14">
      <c r="A14" s="15" t="inlineStr">
        <is>
          <t>S4-008</t>
        </is>
      </c>
      <c r="B14" s="15" t="inlineStr">
        <is>
          <t>A</t>
        </is>
      </c>
      <c r="C14" s="15" t="inlineStr">
        <is>
          <t>Quantities</t>
        </is>
      </c>
      <c r="D14" s="15" t="inlineStr">
        <is>
          <t>B.N. Dutta example 3: steel quantity</t>
        </is>
      </c>
      <c r="E14" s="15" t="inlineStr">
        <is>
          <t>kg</t>
        </is>
      </c>
      <c r="F14" s="15" t="inlineStr">
        <is>
          <t>Book</t>
        </is>
      </c>
      <c r="G14" s="15" t="inlineStr">
        <is>
          <t>B.N. Dutta, Estimating and Costing</t>
        </is>
      </c>
      <c r="H14" s="15" t="inlineStr">
        <is>
          <t>Within 10% of correct answer</t>
        </is>
      </c>
      <c r="I14" s="16" t="n"/>
      <c r="J14" s="16" t="n"/>
      <c r="K14" s="16" t="n"/>
      <c r="L14" s="25">
        <f>IF(X14="","",X14)</f>
        <v/>
      </c>
      <c r="M14" s="18">
        <f>IF(O14&lt;&gt;"",O14,Y14)</f>
        <v/>
      </c>
      <c r="N14" s="16" t="n"/>
      <c r="O14" s="19" t="n"/>
      <c r="P14" s="19" t="n"/>
      <c r="Q14" s="19" t="n"/>
      <c r="R14" s="20" t="inlineStr">
        <is>
          <t>IS 1200</t>
        </is>
      </c>
      <c r="S14" s="20" t="inlineStr">
        <is>
          <t>n/a</t>
        </is>
      </c>
      <c r="T14" s="20" t="inlineStr">
        <is>
          <t>±%</t>
        </is>
      </c>
      <c r="U14" s="20" t="n"/>
      <c r="V14" s="20" t="n">
        <v>10</v>
      </c>
      <c r="W14" s="20">
        <f>IF(AND(ISNUMBER(I14),ISNUMBER(J14)),I14-J14,"")</f>
        <v/>
      </c>
      <c r="X14" s="20">
        <f>IF(AND(ISNUMBER(I14),ISNUMBER(J14)),IF(J14=0,"",(I14-J14)/ABS(J14)),"")</f>
        <v/>
      </c>
      <c r="Y14" s="20">
        <f>IF(T14="Advisory","No pass mark",IF(T14="Manual","Claude will check",IF(I14="","Not done yet",IF(T14="Exact",IF(AND(ISNUMBER(I14),ISNUMBER(J14)),IF(ROUND(I14,2)=ROUND(J14,2),"Pass","Fail"),IF(TRIM(LOWER(I14&amp;""))=TRIM(LOWER(J14&amp;"")),"Pass","Fail")),IF(T14="Min",IF(I14&gt;=U14-1E-9,"Pass","Fail"),IF(T14="Between",IF(AND(I14&gt;=U14,I14&lt;=V14),"Pass","Fail"),IF(J14="","Not done yet",IF(T14="±%",IF(X14="","Check correct answer",IF(ABS(X14)*100&lt;=V14+1E-9,"Pass","Fail")),IF(T14="% range",IF(X14="","Check correct answer",IF(AND(X14*100&gt;=U14-1E-9,X14*100&lt;=V14+1E-9),"Pass","Fail")),IF(T14="±abs",IF(ABS(W14)&lt;=V14+1E-9,"Pass","Fail"),"Check type"))))))))))</f>
        <v/>
      </c>
    </row>
    <row r="15">
      <c r="A15" s="15" t="inlineStr">
        <is>
          <t>S4-009</t>
        </is>
      </c>
      <c r="B15" s="15" t="inlineStr">
        <is>
          <t>A</t>
        </is>
      </c>
      <c r="C15" s="15" t="inlineStr">
        <is>
          <t>Quantities</t>
        </is>
      </c>
      <c r="D15" s="15" t="inlineStr">
        <is>
          <t>B.N. Dutta example 3: masonry quantity</t>
        </is>
      </c>
      <c r="E15" s="15" t="inlineStr">
        <is>
          <t>m³</t>
        </is>
      </c>
      <c r="F15" s="15" t="inlineStr">
        <is>
          <t>Book</t>
        </is>
      </c>
      <c r="G15" s="15" t="inlineStr">
        <is>
          <t>B.N. Dutta, Estimating and Costing</t>
        </is>
      </c>
      <c r="H15" s="15" t="inlineStr">
        <is>
          <t>Within 7% of correct answer</t>
        </is>
      </c>
      <c r="I15" s="16" t="n"/>
      <c r="J15" s="16" t="n"/>
      <c r="K15" s="16" t="n"/>
      <c r="L15" s="25">
        <f>IF(X15="","",X15)</f>
        <v/>
      </c>
      <c r="M15" s="18">
        <f>IF(O15&lt;&gt;"",O15,Y15)</f>
        <v/>
      </c>
      <c r="N15" s="16" t="n"/>
      <c r="O15" s="19" t="n"/>
      <c r="P15" s="19" t="n"/>
      <c r="Q15" s="19" t="n"/>
      <c r="R15" s="20" t="inlineStr">
        <is>
          <t>IS 1200</t>
        </is>
      </c>
      <c r="S15" s="20" t="inlineStr">
        <is>
          <t>n/a</t>
        </is>
      </c>
      <c r="T15" s="20" t="inlineStr">
        <is>
          <t>±%</t>
        </is>
      </c>
      <c r="U15" s="20" t="n"/>
      <c r="V15" s="20" t="n">
        <v>7</v>
      </c>
      <c r="W15" s="20">
        <f>IF(AND(ISNUMBER(I15),ISNUMBER(J15)),I15-J15,"")</f>
        <v/>
      </c>
      <c r="X15" s="20">
        <f>IF(AND(ISNUMBER(I15),ISNUMBER(J15)),IF(J15=0,"",(I15-J15)/ABS(J15)),"")</f>
        <v/>
      </c>
      <c r="Y15" s="20">
        <f>IF(T15="Advisory","No pass mark",IF(T15="Manual","Claude will check",IF(I15="","Not done yet",IF(T15="Exact",IF(AND(ISNUMBER(I15),ISNUMBER(J15)),IF(ROUND(I15,2)=ROUND(J15,2),"Pass","Fail"),IF(TRIM(LOWER(I15&amp;""))=TRIM(LOWER(J15&amp;"")),"Pass","Fail")),IF(T15="Min",IF(I15&gt;=U15-1E-9,"Pass","Fail"),IF(T15="Between",IF(AND(I15&gt;=U15,I15&lt;=V15),"Pass","Fail"),IF(J15="","Not done yet",IF(T15="±%",IF(X15="","Check correct answer",IF(ABS(X15)*100&lt;=V15+1E-9,"Pass","Fail")),IF(T15="% range",IF(X15="","Check correct answer",IF(AND(X15*100&gt;=U15-1E-9,X15*100&lt;=V15+1E-9),"Pass","Fail")),IF(T15="±abs",IF(ABS(W15)&lt;=V15+1E-9,"Pass","Fail"),"Check type"))))))))))</f>
        <v/>
      </c>
    </row>
    <row r="16">
      <c r="A16" s="15" t="inlineStr">
        <is>
          <t>S4-010</t>
        </is>
      </c>
      <c r="B16" s="15" t="inlineStr">
        <is>
          <t>A</t>
        </is>
      </c>
      <c r="C16" s="15" t="inlineStr">
        <is>
          <t>Quantities</t>
        </is>
      </c>
      <c r="D16" s="15" t="inlineStr">
        <is>
          <t>One tower: concrete quantity</t>
        </is>
      </c>
      <c r="E16" s="15" t="inlineStr">
        <is>
          <t>m³</t>
        </is>
      </c>
      <c r="F16" s="15" t="inlineStr">
        <is>
          <t>Real</t>
        </is>
      </c>
      <c r="G16" s="15" t="inlineStr">
        <is>
          <t>Manual take-off by B and C (blind to app)</t>
        </is>
      </c>
      <c r="H16" s="15" t="inlineStr">
        <is>
          <t>Within 5% of correct answer</t>
        </is>
      </c>
      <c r="I16" s="16" t="n"/>
      <c r="J16" s="16" t="n"/>
      <c r="K16" s="16" t="n"/>
      <c r="L16" s="25">
        <f>IF(X16="","",X16)</f>
        <v/>
      </c>
      <c r="M16" s="18">
        <f>IF(O16&lt;&gt;"",O16,Y16)</f>
        <v/>
      </c>
      <c r="N16" s="16" t="n"/>
      <c r="O16" s="19" t="n"/>
      <c r="P16" s="19" t="n"/>
      <c r="Q16" s="19" t="n"/>
      <c r="R16" s="20" t="inlineStr">
        <is>
          <t>IS 1200</t>
        </is>
      </c>
      <c r="S16" s="20" t="inlineStr">
        <is>
          <t>n/a</t>
        </is>
      </c>
      <c r="T16" s="20" t="inlineStr">
        <is>
          <t>±%</t>
        </is>
      </c>
      <c r="U16" s="20" t="n"/>
      <c r="V16" s="20" t="n">
        <v>5</v>
      </c>
      <c r="W16" s="20">
        <f>IF(AND(ISNUMBER(I16),ISNUMBER(J16)),I16-J16,"")</f>
        <v/>
      </c>
      <c r="X16" s="20">
        <f>IF(AND(ISNUMBER(I16),ISNUMBER(J16)),IF(J16=0,"",(I16-J16)/ABS(J16)),"")</f>
        <v/>
      </c>
      <c r="Y16" s="20">
        <f>IF(T16="Advisory","No pass mark",IF(T16="Manual","Claude will check",IF(I16="","Not done yet",IF(T16="Exact",IF(AND(ISNUMBER(I16),ISNUMBER(J16)),IF(ROUND(I16,2)=ROUND(J16,2),"Pass","Fail"),IF(TRIM(LOWER(I16&amp;""))=TRIM(LOWER(J16&amp;"")),"Pass","Fail")),IF(T16="Min",IF(I16&gt;=U16-1E-9,"Pass","Fail"),IF(T16="Between",IF(AND(I16&gt;=U16,I16&lt;=V16),"Pass","Fail"),IF(J16="","Not done yet",IF(T16="±%",IF(X16="","Check correct answer",IF(ABS(X16)*100&lt;=V16+1E-9,"Pass","Fail")),IF(T16="% range",IF(X16="","Check correct answer",IF(AND(X16*100&gt;=U16-1E-9,X16*100&lt;=V16+1E-9),"Pass","Fail")),IF(T16="±abs",IF(ABS(W16)&lt;=V16+1E-9,"Pass","Fail"),"Check type"))))))))))</f>
        <v/>
      </c>
    </row>
    <row r="17">
      <c r="A17" s="15" t="inlineStr">
        <is>
          <t>S4-011</t>
        </is>
      </c>
      <c r="B17" s="15" t="inlineStr">
        <is>
          <t>A</t>
        </is>
      </c>
      <c r="C17" s="15" t="inlineStr">
        <is>
          <t>Quantities</t>
        </is>
      </c>
      <c r="D17" s="15" t="inlineStr">
        <is>
          <t>One tower: steel quantity</t>
        </is>
      </c>
      <c r="E17" s="15" t="inlineStr">
        <is>
          <t>kg</t>
        </is>
      </c>
      <c r="F17" s="15" t="inlineStr">
        <is>
          <t>Real</t>
        </is>
      </c>
      <c r="G17" s="15" t="inlineStr">
        <is>
          <t>Manual take-off by B and C (blind to app)</t>
        </is>
      </c>
      <c r="H17" s="15" t="inlineStr">
        <is>
          <t>Within 10% of correct answer</t>
        </is>
      </c>
      <c r="I17" s="16" t="n"/>
      <c r="J17" s="16" t="n"/>
      <c r="K17" s="16" t="n"/>
      <c r="L17" s="25">
        <f>IF(X17="","",X17)</f>
        <v/>
      </c>
      <c r="M17" s="18">
        <f>IF(O17&lt;&gt;"",O17,Y17)</f>
        <v/>
      </c>
      <c r="N17" s="16" t="n"/>
      <c r="O17" s="19" t="n"/>
      <c r="P17" s="19" t="n"/>
      <c r="Q17" s="19" t="n"/>
      <c r="R17" s="20" t="inlineStr">
        <is>
          <t>IS 1200</t>
        </is>
      </c>
      <c r="S17" s="20" t="inlineStr">
        <is>
          <t>n/a</t>
        </is>
      </c>
      <c r="T17" s="20" t="inlineStr">
        <is>
          <t>±%</t>
        </is>
      </c>
      <c r="U17" s="20" t="n"/>
      <c r="V17" s="20" t="n">
        <v>10</v>
      </c>
      <c r="W17" s="20">
        <f>IF(AND(ISNUMBER(I17),ISNUMBER(J17)),I17-J17,"")</f>
        <v/>
      </c>
      <c r="X17" s="20">
        <f>IF(AND(ISNUMBER(I17),ISNUMBER(J17)),IF(J17=0,"",(I17-J17)/ABS(J17)),"")</f>
        <v/>
      </c>
      <c r="Y17" s="20">
        <f>IF(T17="Advisory","No pass mark",IF(T17="Manual","Claude will check",IF(I17="","Not done yet",IF(T17="Exact",IF(AND(ISNUMBER(I17),ISNUMBER(J17)),IF(ROUND(I17,2)=ROUND(J17,2),"Pass","Fail"),IF(TRIM(LOWER(I17&amp;""))=TRIM(LOWER(J17&amp;"")),"Pass","Fail")),IF(T17="Min",IF(I17&gt;=U17-1E-9,"Pass","Fail"),IF(T17="Between",IF(AND(I17&gt;=U17,I17&lt;=V17),"Pass","Fail"),IF(J17="","Not done yet",IF(T17="±%",IF(X17="","Check correct answer",IF(ABS(X17)*100&lt;=V17+1E-9,"Pass","Fail")),IF(T17="% range",IF(X17="","Check correct answer",IF(AND(X17*100&gt;=U17-1E-9,X17*100&lt;=V17+1E-9),"Pass","Fail")),IF(T17="±abs",IF(ABS(W17)&lt;=V17+1E-9,"Pass","Fail"),"Check type"))))))))))</f>
        <v/>
      </c>
    </row>
    <row r="18">
      <c r="A18" s="15" t="inlineStr">
        <is>
          <t>S4-012</t>
        </is>
      </c>
      <c r="B18" s="15" t="inlineStr">
        <is>
          <t>A</t>
        </is>
      </c>
      <c r="C18" s="15" t="inlineStr">
        <is>
          <t>Quantities</t>
        </is>
      </c>
      <c r="D18" s="15" t="inlineStr">
        <is>
          <t>One tower: masonry quantity</t>
        </is>
      </c>
      <c r="E18" s="15" t="inlineStr">
        <is>
          <t>m³</t>
        </is>
      </c>
      <c r="F18" s="15" t="inlineStr">
        <is>
          <t>Real</t>
        </is>
      </c>
      <c r="G18" s="15" t="inlineStr">
        <is>
          <t>Manual take-off by B and C (blind to app)</t>
        </is>
      </c>
      <c r="H18" s="15" t="inlineStr">
        <is>
          <t>Within 7% of correct answer</t>
        </is>
      </c>
      <c r="I18" s="16" t="n"/>
      <c r="J18" s="16" t="n"/>
      <c r="K18" s="16" t="n"/>
      <c r="L18" s="25">
        <f>IF(X18="","",X18)</f>
        <v/>
      </c>
      <c r="M18" s="18">
        <f>IF(O18&lt;&gt;"",O18,Y18)</f>
        <v/>
      </c>
      <c r="N18" s="16" t="n"/>
      <c r="O18" s="19" t="n"/>
      <c r="P18" s="19" t="n"/>
      <c r="Q18" s="19" t="n"/>
      <c r="R18" s="20" t="inlineStr">
        <is>
          <t>IS 1200</t>
        </is>
      </c>
      <c r="S18" s="20" t="inlineStr">
        <is>
          <t>n/a</t>
        </is>
      </c>
      <c r="T18" s="20" t="inlineStr">
        <is>
          <t>±%</t>
        </is>
      </c>
      <c r="U18" s="20" t="n"/>
      <c r="V18" s="20" t="n">
        <v>7</v>
      </c>
      <c r="W18" s="20">
        <f>IF(AND(ISNUMBER(I18),ISNUMBER(J18)),I18-J18,"")</f>
        <v/>
      </c>
      <c r="X18" s="20">
        <f>IF(AND(ISNUMBER(I18),ISNUMBER(J18)),IF(J18=0,"",(I18-J18)/ABS(J18)),"")</f>
        <v/>
      </c>
      <c r="Y18" s="20">
        <f>IF(T18="Advisory","No pass mark",IF(T18="Manual","Claude will check",IF(I18="","Not done yet",IF(T18="Exact",IF(AND(ISNUMBER(I18),ISNUMBER(J18)),IF(ROUND(I18,2)=ROUND(J18,2),"Pass","Fail"),IF(TRIM(LOWER(I18&amp;""))=TRIM(LOWER(J18&amp;"")),"Pass","Fail")),IF(T18="Min",IF(I18&gt;=U18-1E-9,"Pass","Fail"),IF(T18="Between",IF(AND(I18&gt;=U18,I18&lt;=V18),"Pass","Fail"),IF(J18="","Not done yet",IF(T18="±%",IF(X18="","Check correct answer",IF(ABS(X18)*100&lt;=V18+1E-9,"Pass","Fail")),IF(T18="% range",IF(X18="","Check correct answer",IF(AND(X18*100&gt;=U18-1E-9,X18*100&lt;=V18+1E-9),"Pass","Fail")),IF(T18="±abs",IF(ABS(W18)&lt;=V18+1E-9,"Pass","Fail"),"Check type"))))))))))</f>
        <v/>
      </c>
    </row>
    <row r="19">
      <c r="A19" s="15" t="inlineStr">
        <is>
          <t>S4-013</t>
        </is>
      </c>
      <c r="B19" s="15" t="inlineStr">
        <is>
          <t>A</t>
        </is>
      </c>
      <c r="C19" s="15" t="inlineStr">
        <is>
          <t>Finance</t>
        </is>
      </c>
      <c r="D19" s="15" t="inlineStr">
        <is>
          <t>Cash flow set 1: NPV</t>
        </is>
      </c>
      <c r="E19" s="15" t="inlineStr">
        <is>
          <t>₹</t>
        </is>
      </c>
      <c r="F19" s="15" t="inlineStr">
        <is>
          <t>Book</t>
        </is>
      </c>
      <c r="G19" s="15" t="inlineStr">
        <is>
          <t>LibreOffice NPV()</t>
        </is>
      </c>
      <c r="H19" s="15" t="inlineStr">
        <is>
          <t>Within ₹1 (or 0.01% for big amounts)</t>
        </is>
      </c>
      <c r="I19" s="16" t="n"/>
      <c r="J19" s="16" t="n"/>
      <c r="K19" s="16" t="n"/>
      <c r="L19" s="17">
        <f>IF(W19="","",W19)</f>
        <v/>
      </c>
      <c r="M19" s="18">
        <f>IF(O19&lt;&gt;"",O19,Y19)</f>
        <v/>
      </c>
      <c r="N19" s="16" t="n"/>
      <c r="O19" s="19" t="n"/>
      <c r="P19" s="19" t="n"/>
      <c r="Q19" s="19" t="n"/>
      <c r="R19" s="20" t="inlineStr">
        <is>
          <t>—</t>
        </is>
      </c>
      <c r="S19" s="20" t="inlineStr">
        <is>
          <t>n/a</t>
        </is>
      </c>
      <c r="T19" s="20" t="inlineStr">
        <is>
          <t>±abs</t>
        </is>
      </c>
      <c r="U19" s="20" t="n"/>
      <c r="V19" s="20">
        <f>IF(J19="","",MAX(1,0.0001*ABS(J19)))</f>
        <v/>
      </c>
      <c r="W19" s="20">
        <f>IF(AND(ISNUMBER(I19),ISNUMBER(J19)),I19-J19,"")</f>
        <v/>
      </c>
      <c r="X19" s="20">
        <f>IF(AND(ISNUMBER(I19),ISNUMBER(J19)),IF(J19=0,"",(I19-J19)/ABS(J19)),"")</f>
        <v/>
      </c>
      <c r="Y19" s="20">
        <f>IF(T19="Advisory","No pass mark",IF(T19="Manual","Claude will check",IF(I19="","Not done yet",IF(T19="Exact",IF(AND(ISNUMBER(I19),ISNUMBER(J19)),IF(ROUND(I19,2)=ROUND(J19,2),"Pass","Fail"),IF(TRIM(LOWER(I19&amp;""))=TRIM(LOWER(J19&amp;"")),"Pass","Fail")),IF(T19="Min",IF(I19&gt;=U19-1E-9,"Pass","Fail"),IF(T19="Between",IF(AND(I19&gt;=U19,I19&lt;=V19),"Pass","Fail"),IF(J19="","Not done yet",IF(T19="±%",IF(X19="","Check correct answer",IF(ABS(X19)*100&lt;=V19+1E-9,"Pass","Fail")),IF(T19="% range",IF(X19="","Check correct answer",IF(AND(X19*100&gt;=U19-1E-9,X19*100&lt;=V19+1E-9),"Pass","Fail")),IF(T19="±abs",IF(ABS(W19)&lt;=V19+1E-9,"Pass","Fail"),"Check type"))))))))))</f>
        <v/>
      </c>
    </row>
    <row r="20">
      <c r="A20" s="15" t="inlineStr">
        <is>
          <t>S4-014</t>
        </is>
      </c>
      <c r="B20" s="15" t="inlineStr">
        <is>
          <t>A</t>
        </is>
      </c>
      <c r="C20" s="15" t="inlineStr">
        <is>
          <t>Finance</t>
        </is>
      </c>
      <c r="D20" s="15" t="inlineStr">
        <is>
          <t>Cash flow set 1: IRR</t>
        </is>
      </c>
      <c r="E20" s="15" t="inlineStr">
        <is>
          <t>%</t>
        </is>
      </c>
      <c r="F20" s="15" t="inlineStr">
        <is>
          <t>Book</t>
        </is>
      </c>
      <c r="G20" s="15" t="inlineStr">
        <is>
          <t>LibreOffice IRR()</t>
        </is>
      </c>
      <c r="H20" s="15" t="inlineStr">
        <is>
          <t>Within ±0.01 percentage points</t>
        </is>
      </c>
      <c r="I20" s="16" t="n"/>
      <c r="J20" s="16" t="n"/>
      <c r="K20" s="16" t="n"/>
      <c r="L20" s="17">
        <f>IF(W20="","",W20)</f>
        <v/>
      </c>
      <c r="M20" s="18">
        <f>IF(O20&lt;&gt;"",O20,Y20)</f>
        <v/>
      </c>
      <c r="N20" s="16" t="n"/>
      <c r="O20" s="19" t="n"/>
      <c r="P20" s="19" t="n"/>
      <c r="Q20" s="19" t="n"/>
      <c r="R20" s="20" t="inlineStr">
        <is>
          <t>—</t>
        </is>
      </c>
      <c r="S20" s="20" t="inlineStr">
        <is>
          <t>n/a</t>
        </is>
      </c>
      <c r="T20" s="20" t="inlineStr">
        <is>
          <t>±abs</t>
        </is>
      </c>
      <c r="U20" s="20" t="n"/>
      <c r="V20" s="20" t="n">
        <v>0.01</v>
      </c>
      <c r="W20" s="20">
        <f>IF(AND(ISNUMBER(I20),ISNUMBER(J20)),I20-J20,"")</f>
        <v/>
      </c>
      <c r="X20" s="20">
        <f>IF(AND(ISNUMBER(I20),ISNUMBER(J20)),IF(J20=0,"",(I20-J20)/ABS(J20)),"")</f>
        <v/>
      </c>
      <c r="Y20" s="20">
        <f>IF(T20="Advisory","No pass mark",IF(T20="Manual","Claude will check",IF(I20="","Not done yet",IF(T20="Exact",IF(AND(ISNUMBER(I20),ISNUMBER(J20)),IF(ROUND(I20,2)=ROUND(J20,2),"Pass","Fail"),IF(TRIM(LOWER(I20&amp;""))=TRIM(LOWER(J20&amp;"")),"Pass","Fail")),IF(T20="Min",IF(I20&gt;=U20-1E-9,"Pass","Fail"),IF(T20="Between",IF(AND(I20&gt;=U20,I20&lt;=V20),"Pass","Fail"),IF(J20="","Not done yet",IF(T20="±%",IF(X20="","Check correct answer",IF(ABS(X20)*100&lt;=V20+1E-9,"Pass","Fail")),IF(T20="% range",IF(X20="","Check correct answer",IF(AND(X20*100&gt;=U20-1E-9,X20*100&lt;=V20+1E-9),"Pass","Fail")),IF(T20="±abs",IF(ABS(W20)&lt;=V20+1E-9,"Pass","Fail"),"Check type"))))))))))</f>
        <v/>
      </c>
    </row>
    <row r="21">
      <c r="A21" s="15" t="inlineStr">
        <is>
          <t>S4-015</t>
        </is>
      </c>
      <c r="B21" s="15" t="inlineStr">
        <is>
          <t>A</t>
        </is>
      </c>
      <c r="C21" s="15" t="inlineStr">
        <is>
          <t>Finance</t>
        </is>
      </c>
      <c r="D21" s="15" t="inlineStr">
        <is>
          <t>Cash flow set 2: NPV</t>
        </is>
      </c>
      <c r="E21" s="15" t="inlineStr">
        <is>
          <t>₹</t>
        </is>
      </c>
      <c r="F21" s="15" t="inlineStr">
        <is>
          <t>Book</t>
        </is>
      </c>
      <c r="G21" s="15" t="inlineStr">
        <is>
          <t>LibreOffice NPV()</t>
        </is>
      </c>
      <c r="H21" s="15" t="inlineStr">
        <is>
          <t>Within ₹1 (or 0.01% for big amounts)</t>
        </is>
      </c>
      <c r="I21" s="16" t="n"/>
      <c r="J21" s="16" t="n"/>
      <c r="K21" s="16" t="n"/>
      <c r="L21" s="17">
        <f>IF(W21="","",W21)</f>
        <v/>
      </c>
      <c r="M21" s="18">
        <f>IF(O21&lt;&gt;"",O21,Y21)</f>
        <v/>
      </c>
      <c r="N21" s="16" t="n"/>
      <c r="O21" s="19" t="n"/>
      <c r="P21" s="19" t="n"/>
      <c r="Q21" s="19" t="n"/>
      <c r="R21" s="20" t="inlineStr">
        <is>
          <t>—</t>
        </is>
      </c>
      <c r="S21" s="20" t="inlineStr">
        <is>
          <t>n/a</t>
        </is>
      </c>
      <c r="T21" s="20" t="inlineStr">
        <is>
          <t>±abs</t>
        </is>
      </c>
      <c r="U21" s="20" t="n"/>
      <c r="V21" s="20">
        <f>IF(J21="","",MAX(1,0.0001*ABS(J21)))</f>
        <v/>
      </c>
      <c r="W21" s="20">
        <f>IF(AND(ISNUMBER(I21),ISNUMBER(J21)),I21-J21,"")</f>
        <v/>
      </c>
      <c r="X21" s="20">
        <f>IF(AND(ISNUMBER(I21),ISNUMBER(J21)),IF(J21=0,"",(I21-J21)/ABS(J21)),"")</f>
        <v/>
      </c>
      <c r="Y21" s="20">
        <f>IF(T21="Advisory","No pass mark",IF(T21="Manual","Claude will check",IF(I21="","Not done yet",IF(T21="Exact",IF(AND(ISNUMBER(I21),ISNUMBER(J21)),IF(ROUND(I21,2)=ROUND(J21,2),"Pass","Fail"),IF(TRIM(LOWER(I21&amp;""))=TRIM(LOWER(J21&amp;"")),"Pass","Fail")),IF(T21="Min",IF(I21&gt;=U21-1E-9,"Pass","Fail"),IF(T21="Between",IF(AND(I21&gt;=U21,I21&lt;=V21),"Pass","Fail"),IF(J21="","Not done yet",IF(T21="±%",IF(X21="","Check correct answer",IF(ABS(X21)*100&lt;=V21+1E-9,"Pass","Fail")),IF(T21="% range",IF(X21="","Check correct answer",IF(AND(X21*100&gt;=U21-1E-9,X21*100&lt;=V21+1E-9),"Pass","Fail")),IF(T21="±abs",IF(ABS(W21)&lt;=V21+1E-9,"Pass","Fail"),"Check type"))))))))))</f>
        <v/>
      </c>
    </row>
    <row r="22">
      <c r="A22" s="15" t="inlineStr">
        <is>
          <t>S4-016</t>
        </is>
      </c>
      <c r="B22" s="15" t="inlineStr">
        <is>
          <t>A</t>
        </is>
      </c>
      <c r="C22" s="15" t="inlineStr">
        <is>
          <t>Finance</t>
        </is>
      </c>
      <c r="D22" s="15" t="inlineStr">
        <is>
          <t>Cash flow set 2: IRR</t>
        </is>
      </c>
      <c r="E22" s="15" t="inlineStr">
        <is>
          <t>%</t>
        </is>
      </c>
      <c r="F22" s="15" t="inlineStr">
        <is>
          <t>Book</t>
        </is>
      </c>
      <c r="G22" s="15" t="inlineStr">
        <is>
          <t>LibreOffice IRR()</t>
        </is>
      </c>
      <c r="H22" s="15" t="inlineStr">
        <is>
          <t>Within ±0.01 percentage points</t>
        </is>
      </c>
      <c r="I22" s="16" t="n"/>
      <c r="J22" s="16" t="n"/>
      <c r="K22" s="16" t="n"/>
      <c r="L22" s="17">
        <f>IF(W22="","",W22)</f>
        <v/>
      </c>
      <c r="M22" s="18">
        <f>IF(O22&lt;&gt;"",O22,Y22)</f>
        <v/>
      </c>
      <c r="N22" s="16" t="n"/>
      <c r="O22" s="19" t="n"/>
      <c r="P22" s="19" t="n"/>
      <c r="Q22" s="19" t="n"/>
      <c r="R22" s="20" t="inlineStr">
        <is>
          <t>—</t>
        </is>
      </c>
      <c r="S22" s="20" t="inlineStr">
        <is>
          <t>n/a</t>
        </is>
      </c>
      <c r="T22" s="20" t="inlineStr">
        <is>
          <t>±abs</t>
        </is>
      </c>
      <c r="U22" s="20" t="n"/>
      <c r="V22" s="20" t="n">
        <v>0.01</v>
      </c>
      <c r="W22" s="20">
        <f>IF(AND(ISNUMBER(I22),ISNUMBER(J22)),I22-J22,"")</f>
        <v/>
      </c>
      <c r="X22" s="20">
        <f>IF(AND(ISNUMBER(I22),ISNUMBER(J22)),IF(J22=0,"",(I22-J22)/ABS(J22)),"")</f>
        <v/>
      </c>
      <c r="Y22" s="20">
        <f>IF(T22="Advisory","No pass mark",IF(T22="Manual","Claude will check",IF(I22="","Not done yet",IF(T22="Exact",IF(AND(ISNUMBER(I22),ISNUMBER(J22)),IF(ROUND(I22,2)=ROUND(J22,2),"Pass","Fail"),IF(TRIM(LOWER(I22&amp;""))=TRIM(LOWER(J22&amp;"")),"Pass","Fail")),IF(T22="Min",IF(I22&gt;=U22-1E-9,"Pass","Fail"),IF(T22="Between",IF(AND(I22&gt;=U22,I22&lt;=V22),"Pass","Fail"),IF(J22="","Not done yet",IF(T22="±%",IF(X22="","Check correct answer",IF(ABS(X22)*100&lt;=V22+1E-9,"Pass","Fail")),IF(T22="% range",IF(X22="","Check correct answer",IF(AND(X22*100&gt;=U22-1E-9,X22*100&lt;=V22+1E-9),"Pass","Fail")),IF(T22="±abs",IF(ABS(W22)&lt;=V22+1E-9,"Pass","Fail"),"Check type"))))))))))</f>
        <v/>
      </c>
    </row>
    <row r="23">
      <c r="A23" s="15" t="inlineStr">
        <is>
          <t>S4-017</t>
        </is>
      </c>
      <c r="B23" s="15" t="inlineStr">
        <is>
          <t>A</t>
        </is>
      </c>
      <c r="C23" s="15" t="inlineStr">
        <is>
          <t>Finance</t>
        </is>
      </c>
      <c r="D23" s="15" t="inlineStr">
        <is>
          <t>Cash flow set 3: NPV</t>
        </is>
      </c>
      <c r="E23" s="15" t="inlineStr">
        <is>
          <t>₹</t>
        </is>
      </c>
      <c r="F23" s="15" t="inlineStr">
        <is>
          <t>Book</t>
        </is>
      </c>
      <c r="G23" s="15" t="inlineStr">
        <is>
          <t>LibreOffice NPV()</t>
        </is>
      </c>
      <c r="H23" s="15" t="inlineStr">
        <is>
          <t>Within ₹1 (or 0.01% for big amounts)</t>
        </is>
      </c>
      <c r="I23" s="16" t="n"/>
      <c r="J23" s="16" t="n"/>
      <c r="K23" s="16" t="n"/>
      <c r="L23" s="17">
        <f>IF(W23="","",W23)</f>
        <v/>
      </c>
      <c r="M23" s="18">
        <f>IF(O23&lt;&gt;"",O23,Y23)</f>
        <v/>
      </c>
      <c r="N23" s="16" t="n"/>
      <c r="O23" s="19" t="n"/>
      <c r="P23" s="19" t="n"/>
      <c r="Q23" s="19" t="n"/>
      <c r="R23" s="20" t="inlineStr">
        <is>
          <t>—</t>
        </is>
      </c>
      <c r="S23" s="20" t="inlineStr">
        <is>
          <t>n/a</t>
        </is>
      </c>
      <c r="T23" s="20" t="inlineStr">
        <is>
          <t>±abs</t>
        </is>
      </c>
      <c r="U23" s="20" t="n"/>
      <c r="V23" s="20">
        <f>IF(J23="","",MAX(1,0.0001*ABS(J23)))</f>
        <v/>
      </c>
      <c r="W23" s="20">
        <f>IF(AND(ISNUMBER(I23),ISNUMBER(J23)),I23-J23,"")</f>
        <v/>
      </c>
      <c r="X23" s="20">
        <f>IF(AND(ISNUMBER(I23),ISNUMBER(J23)),IF(J23=0,"",(I23-J23)/ABS(J23)),"")</f>
        <v/>
      </c>
      <c r="Y23" s="20">
        <f>IF(T23="Advisory","No pass mark",IF(T23="Manual","Claude will check",IF(I23="","Not done yet",IF(T23="Exact",IF(AND(ISNUMBER(I23),ISNUMBER(J23)),IF(ROUND(I23,2)=ROUND(J23,2),"Pass","Fail"),IF(TRIM(LOWER(I23&amp;""))=TRIM(LOWER(J23&amp;"")),"Pass","Fail")),IF(T23="Min",IF(I23&gt;=U23-1E-9,"Pass","Fail"),IF(T23="Between",IF(AND(I23&gt;=U23,I23&lt;=V23),"Pass","Fail"),IF(J23="","Not done yet",IF(T23="±%",IF(X23="","Check correct answer",IF(ABS(X23)*100&lt;=V23+1E-9,"Pass","Fail")),IF(T23="% range",IF(X23="","Check correct answer",IF(AND(X23*100&gt;=U23-1E-9,X23*100&lt;=V23+1E-9),"Pass","Fail")),IF(T23="±abs",IF(ABS(W23)&lt;=V23+1E-9,"Pass","Fail"),"Check type"))))))))))</f>
        <v/>
      </c>
    </row>
    <row r="24">
      <c r="A24" s="15" t="inlineStr">
        <is>
          <t>S4-018</t>
        </is>
      </c>
      <c r="B24" s="15" t="inlineStr">
        <is>
          <t>A</t>
        </is>
      </c>
      <c r="C24" s="15" t="inlineStr">
        <is>
          <t>Finance</t>
        </is>
      </c>
      <c r="D24" s="15" t="inlineStr">
        <is>
          <t>Cash flow set 3: IRR</t>
        </is>
      </c>
      <c r="E24" s="15" t="inlineStr">
        <is>
          <t>%</t>
        </is>
      </c>
      <c r="F24" s="15" t="inlineStr">
        <is>
          <t>Book</t>
        </is>
      </c>
      <c r="G24" s="15" t="inlineStr">
        <is>
          <t>LibreOffice IRR()</t>
        </is>
      </c>
      <c r="H24" s="15" t="inlineStr">
        <is>
          <t>Within ±0.01 percentage points</t>
        </is>
      </c>
      <c r="I24" s="16" t="n"/>
      <c r="J24" s="16" t="n"/>
      <c r="K24" s="16" t="n"/>
      <c r="L24" s="17">
        <f>IF(W24="","",W24)</f>
        <v/>
      </c>
      <c r="M24" s="18">
        <f>IF(O24&lt;&gt;"",O24,Y24)</f>
        <v/>
      </c>
      <c r="N24" s="16" t="n"/>
      <c r="O24" s="19" t="n"/>
      <c r="P24" s="19" t="n"/>
      <c r="Q24" s="19" t="n"/>
      <c r="R24" s="20" t="inlineStr">
        <is>
          <t>—</t>
        </is>
      </c>
      <c r="S24" s="20" t="inlineStr">
        <is>
          <t>n/a</t>
        </is>
      </c>
      <c r="T24" s="20" t="inlineStr">
        <is>
          <t>±abs</t>
        </is>
      </c>
      <c r="U24" s="20" t="n"/>
      <c r="V24" s="20" t="n">
        <v>0.01</v>
      </c>
      <c r="W24" s="20">
        <f>IF(AND(ISNUMBER(I24),ISNUMBER(J24)),I24-J24,"")</f>
        <v/>
      </c>
      <c r="X24" s="20">
        <f>IF(AND(ISNUMBER(I24),ISNUMBER(J24)),IF(J24=0,"",(I24-J24)/ABS(J24)),"")</f>
        <v/>
      </c>
      <c r="Y24" s="20">
        <f>IF(T24="Advisory","No pass mark",IF(T24="Manual","Claude will check",IF(I24="","Not done yet",IF(T24="Exact",IF(AND(ISNUMBER(I24),ISNUMBER(J24)),IF(ROUND(I24,2)=ROUND(J24,2),"Pass","Fail"),IF(TRIM(LOWER(I24&amp;""))=TRIM(LOWER(J24&amp;"")),"Pass","Fail")),IF(T24="Min",IF(I24&gt;=U24-1E-9,"Pass","Fail"),IF(T24="Between",IF(AND(I24&gt;=U24,I24&lt;=V24),"Pass","Fail"),IF(J24="","Not done yet",IF(T24="±%",IF(X24="","Check correct answer",IF(ABS(X24)*100&lt;=V24+1E-9,"Pass","Fail")),IF(T24="% range",IF(X24="","Check correct answer",IF(AND(X24*100&gt;=U24-1E-9,X24*100&lt;=V24+1E-9),"Pass","Fail")),IF(T24="±abs",IF(ABS(W24)&lt;=V24+1E-9,"Pass","Fail"),"Check type"))))))))))</f>
        <v/>
      </c>
    </row>
    <row r="25">
      <c r="A25" s="15" t="inlineStr">
        <is>
          <t>S4-019</t>
        </is>
      </c>
      <c r="B25" s="15" t="inlineStr">
        <is>
          <t>A</t>
        </is>
      </c>
      <c r="C25" s="15" t="inlineStr">
        <is>
          <t>Finance</t>
        </is>
      </c>
      <c r="D25" s="15" t="inlineStr">
        <is>
          <t>Cash flow set 4: NPV</t>
        </is>
      </c>
      <c r="E25" s="15" t="inlineStr">
        <is>
          <t>₹</t>
        </is>
      </c>
      <c r="F25" s="15" t="inlineStr">
        <is>
          <t>Book</t>
        </is>
      </c>
      <c r="G25" s="15" t="inlineStr">
        <is>
          <t>LibreOffice NPV()</t>
        </is>
      </c>
      <c r="H25" s="15" t="inlineStr">
        <is>
          <t>Within ₹1 (or 0.01% for big amounts)</t>
        </is>
      </c>
      <c r="I25" s="16" t="n"/>
      <c r="J25" s="16" t="n"/>
      <c r="K25" s="16" t="n"/>
      <c r="L25" s="17">
        <f>IF(W25="","",W25)</f>
        <v/>
      </c>
      <c r="M25" s="18">
        <f>IF(O25&lt;&gt;"",O25,Y25)</f>
        <v/>
      </c>
      <c r="N25" s="16" t="n"/>
      <c r="O25" s="19" t="n"/>
      <c r="P25" s="19" t="n"/>
      <c r="Q25" s="19" t="n"/>
      <c r="R25" s="20" t="inlineStr">
        <is>
          <t>—</t>
        </is>
      </c>
      <c r="S25" s="20" t="inlineStr">
        <is>
          <t>n/a</t>
        </is>
      </c>
      <c r="T25" s="20" t="inlineStr">
        <is>
          <t>±abs</t>
        </is>
      </c>
      <c r="U25" s="20" t="n"/>
      <c r="V25" s="20">
        <f>IF(J25="","",MAX(1,0.0001*ABS(J25)))</f>
        <v/>
      </c>
      <c r="W25" s="20">
        <f>IF(AND(ISNUMBER(I25),ISNUMBER(J25)),I25-J25,"")</f>
        <v/>
      </c>
      <c r="X25" s="20">
        <f>IF(AND(ISNUMBER(I25),ISNUMBER(J25)),IF(J25=0,"",(I25-J25)/ABS(J25)),"")</f>
        <v/>
      </c>
      <c r="Y25" s="20">
        <f>IF(T25="Advisory","No pass mark",IF(T25="Manual","Claude will check",IF(I25="","Not done yet",IF(T25="Exact",IF(AND(ISNUMBER(I25),ISNUMBER(J25)),IF(ROUND(I25,2)=ROUND(J25,2),"Pass","Fail"),IF(TRIM(LOWER(I25&amp;""))=TRIM(LOWER(J25&amp;"")),"Pass","Fail")),IF(T25="Min",IF(I25&gt;=U25-1E-9,"Pass","Fail"),IF(T25="Between",IF(AND(I25&gt;=U25,I25&lt;=V25),"Pass","Fail"),IF(J25="","Not done yet",IF(T25="±%",IF(X25="","Check correct answer",IF(ABS(X25)*100&lt;=V25+1E-9,"Pass","Fail")),IF(T25="% range",IF(X25="","Check correct answer",IF(AND(X25*100&gt;=U25-1E-9,X25*100&lt;=V25+1E-9),"Pass","Fail")),IF(T25="±abs",IF(ABS(W25)&lt;=V25+1E-9,"Pass","Fail"),"Check type"))))))))))</f>
        <v/>
      </c>
    </row>
    <row r="26">
      <c r="A26" s="15" t="inlineStr">
        <is>
          <t>S4-020</t>
        </is>
      </c>
      <c r="B26" s="15" t="inlineStr">
        <is>
          <t>A</t>
        </is>
      </c>
      <c r="C26" s="15" t="inlineStr">
        <is>
          <t>Finance</t>
        </is>
      </c>
      <c r="D26" s="15" t="inlineStr">
        <is>
          <t>Cash flow set 4: IRR</t>
        </is>
      </c>
      <c r="E26" s="15" t="inlineStr">
        <is>
          <t>%</t>
        </is>
      </c>
      <c r="F26" s="15" t="inlineStr">
        <is>
          <t>Book</t>
        </is>
      </c>
      <c r="G26" s="15" t="inlineStr">
        <is>
          <t>LibreOffice IRR()</t>
        </is>
      </c>
      <c r="H26" s="15" t="inlineStr">
        <is>
          <t>Within ±0.01 percentage points</t>
        </is>
      </c>
      <c r="I26" s="16" t="n"/>
      <c r="J26" s="16" t="n"/>
      <c r="K26" s="16" t="n"/>
      <c r="L26" s="17">
        <f>IF(W26="","",W26)</f>
        <v/>
      </c>
      <c r="M26" s="18">
        <f>IF(O26&lt;&gt;"",O26,Y26)</f>
        <v/>
      </c>
      <c r="N26" s="16" t="n"/>
      <c r="O26" s="19" t="n"/>
      <c r="P26" s="19" t="n"/>
      <c r="Q26" s="19" t="n"/>
      <c r="R26" s="20" t="inlineStr">
        <is>
          <t>—</t>
        </is>
      </c>
      <c r="S26" s="20" t="inlineStr">
        <is>
          <t>n/a</t>
        </is>
      </c>
      <c r="T26" s="20" t="inlineStr">
        <is>
          <t>±abs</t>
        </is>
      </c>
      <c r="U26" s="20" t="n"/>
      <c r="V26" s="20" t="n">
        <v>0.01</v>
      </c>
      <c r="W26" s="20">
        <f>IF(AND(ISNUMBER(I26),ISNUMBER(J26)),I26-J26,"")</f>
        <v/>
      </c>
      <c r="X26" s="20">
        <f>IF(AND(ISNUMBER(I26),ISNUMBER(J26)),IF(J26=0,"",(I26-J26)/ABS(J26)),"")</f>
        <v/>
      </c>
      <c r="Y26" s="20">
        <f>IF(T26="Advisory","No pass mark",IF(T26="Manual","Claude will check",IF(I26="","Not done yet",IF(T26="Exact",IF(AND(ISNUMBER(I26),ISNUMBER(J26)),IF(ROUND(I26,2)=ROUND(J26,2),"Pass","Fail"),IF(TRIM(LOWER(I26&amp;""))=TRIM(LOWER(J26&amp;"")),"Pass","Fail")),IF(T26="Min",IF(I26&gt;=U26-1E-9,"Pass","Fail"),IF(T26="Between",IF(AND(I26&gt;=U26,I26&lt;=V26),"Pass","Fail"),IF(J26="","Not done yet",IF(T26="±%",IF(X26="","Check correct answer",IF(ABS(X26)*100&lt;=V26+1E-9,"Pass","Fail")),IF(T26="% range",IF(X26="","Check correct answer",IF(AND(X26*100&gt;=U26-1E-9,X26*100&lt;=V26+1E-9),"Pass","Fail")),IF(T26="±abs",IF(ABS(W26)&lt;=V26+1E-9,"Pass","Fail"),"Check type"))))))))))</f>
        <v/>
      </c>
    </row>
    <row r="27">
      <c r="A27" s="15" t="inlineStr">
        <is>
          <t>S4-021</t>
        </is>
      </c>
      <c r="B27" s="15" t="inlineStr">
        <is>
          <t>A</t>
        </is>
      </c>
      <c r="C27" s="15" t="inlineStr">
        <is>
          <t>Finance</t>
        </is>
      </c>
      <c r="D27" s="15" t="inlineStr">
        <is>
          <t>Cash flow set 5: NPV</t>
        </is>
      </c>
      <c r="E27" s="15" t="inlineStr">
        <is>
          <t>₹</t>
        </is>
      </c>
      <c r="F27" s="15" t="inlineStr">
        <is>
          <t>Book</t>
        </is>
      </c>
      <c r="G27" s="15" t="inlineStr">
        <is>
          <t>LibreOffice NPV()</t>
        </is>
      </c>
      <c r="H27" s="15" t="inlineStr">
        <is>
          <t>Within ₹1 (or 0.01% for big amounts)</t>
        </is>
      </c>
      <c r="I27" s="16" t="n"/>
      <c r="J27" s="16" t="n"/>
      <c r="K27" s="16" t="n"/>
      <c r="L27" s="17">
        <f>IF(W27="","",W27)</f>
        <v/>
      </c>
      <c r="M27" s="18">
        <f>IF(O27&lt;&gt;"",O27,Y27)</f>
        <v/>
      </c>
      <c r="N27" s="16" t="n"/>
      <c r="O27" s="19" t="n"/>
      <c r="P27" s="19" t="n"/>
      <c r="Q27" s="19" t="n"/>
      <c r="R27" s="20" t="inlineStr">
        <is>
          <t>—</t>
        </is>
      </c>
      <c r="S27" s="20" t="inlineStr">
        <is>
          <t>n/a</t>
        </is>
      </c>
      <c r="T27" s="20" t="inlineStr">
        <is>
          <t>±abs</t>
        </is>
      </c>
      <c r="U27" s="20" t="n"/>
      <c r="V27" s="20">
        <f>IF(J27="","",MAX(1,0.0001*ABS(J27)))</f>
        <v/>
      </c>
      <c r="W27" s="20">
        <f>IF(AND(ISNUMBER(I27),ISNUMBER(J27)),I27-J27,"")</f>
        <v/>
      </c>
      <c r="X27" s="20">
        <f>IF(AND(ISNUMBER(I27),ISNUMBER(J27)),IF(J27=0,"",(I27-J27)/ABS(J27)),"")</f>
        <v/>
      </c>
      <c r="Y27" s="20">
        <f>IF(T27="Advisory","No pass mark",IF(T27="Manual","Claude will check",IF(I27="","Not done yet",IF(T27="Exact",IF(AND(ISNUMBER(I27),ISNUMBER(J27)),IF(ROUND(I27,2)=ROUND(J27,2),"Pass","Fail"),IF(TRIM(LOWER(I27&amp;""))=TRIM(LOWER(J27&amp;"")),"Pass","Fail")),IF(T27="Min",IF(I27&gt;=U27-1E-9,"Pass","Fail"),IF(T27="Between",IF(AND(I27&gt;=U27,I27&lt;=V27),"Pass","Fail"),IF(J27="","Not done yet",IF(T27="±%",IF(X27="","Check correct answer",IF(ABS(X27)*100&lt;=V27+1E-9,"Pass","Fail")),IF(T27="% range",IF(X27="","Check correct answer",IF(AND(X27*100&gt;=U27-1E-9,X27*100&lt;=V27+1E-9),"Pass","Fail")),IF(T27="±abs",IF(ABS(W27)&lt;=V27+1E-9,"Pass","Fail"),"Check type"))))))))))</f>
        <v/>
      </c>
    </row>
    <row r="28">
      <c r="A28" s="15" t="inlineStr">
        <is>
          <t>S4-022</t>
        </is>
      </c>
      <c r="B28" s="15" t="inlineStr">
        <is>
          <t>A</t>
        </is>
      </c>
      <c r="C28" s="15" t="inlineStr">
        <is>
          <t>Finance</t>
        </is>
      </c>
      <c r="D28" s="15" t="inlineStr">
        <is>
          <t>Cash flow set 5: IRR</t>
        </is>
      </c>
      <c r="E28" s="15" t="inlineStr">
        <is>
          <t>%</t>
        </is>
      </c>
      <c r="F28" s="15" t="inlineStr">
        <is>
          <t>Book</t>
        </is>
      </c>
      <c r="G28" s="15" t="inlineStr">
        <is>
          <t>LibreOffice IRR()</t>
        </is>
      </c>
      <c r="H28" s="15" t="inlineStr">
        <is>
          <t>Within ±0.01 percentage points</t>
        </is>
      </c>
      <c r="I28" s="16" t="n"/>
      <c r="J28" s="16" t="n"/>
      <c r="K28" s="16" t="n"/>
      <c r="L28" s="17">
        <f>IF(W28="","",W28)</f>
        <v/>
      </c>
      <c r="M28" s="18">
        <f>IF(O28&lt;&gt;"",O28,Y28)</f>
        <v/>
      </c>
      <c r="N28" s="16" t="n"/>
      <c r="O28" s="19" t="n"/>
      <c r="P28" s="19" t="n"/>
      <c r="Q28" s="19" t="n"/>
      <c r="R28" s="20" t="inlineStr">
        <is>
          <t>—</t>
        </is>
      </c>
      <c r="S28" s="20" t="inlineStr">
        <is>
          <t>n/a</t>
        </is>
      </c>
      <c r="T28" s="20" t="inlineStr">
        <is>
          <t>±abs</t>
        </is>
      </c>
      <c r="U28" s="20" t="n"/>
      <c r="V28" s="20" t="n">
        <v>0.01</v>
      </c>
      <c r="W28" s="20">
        <f>IF(AND(ISNUMBER(I28),ISNUMBER(J28)),I28-J28,"")</f>
        <v/>
      </c>
      <c r="X28" s="20">
        <f>IF(AND(ISNUMBER(I28),ISNUMBER(J28)),IF(J28=0,"",(I28-J28)/ABS(J28)),"")</f>
        <v/>
      </c>
      <c r="Y28" s="20">
        <f>IF(T28="Advisory","No pass mark",IF(T28="Manual","Claude will check",IF(I28="","Not done yet",IF(T28="Exact",IF(AND(ISNUMBER(I28),ISNUMBER(J28)),IF(ROUND(I28,2)=ROUND(J28,2),"Pass","Fail"),IF(TRIM(LOWER(I28&amp;""))=TRIM(LOWER(J28&amp;"")),"Pass","Fail")),IF(T28="Min",IF(I28&gt;=U28-1E-9,"Pass","Fail"),IF(T28="Between",IF(AND(I28&gt;=U28,I28&lt;=V28),"Pass","Fail"),IF(J28="","Not done yet",IF(T28="±%",IF(X28="","Check correct answer",IF(ABS(X28)*100&lt;=V28+1E-9,"Pass","Fail")),IF(T28="% range",IF(X28="","Check correct answer",IF(AND(X28*100&gt;=U28-1E-9,X28*100&lt;=V28+1E-9),"Pass","Fail")),IF(T28="±abs",IF(ABS(W28)&lt;=V28+1E-9,"Pass","Fail"),"Check type"))))))))))</f>
        <v/>
      </c>
    </row>
    <row r="29">
      <c r="A29" s="15" t="inlineStr">
        <is>
          <t>S4-023</t>
        </is>
      </c>
      <c r="B29" s="15" t="inlineStr">
        <is>
          <t>A</t>
        </is>
      </c>
      <c r="C29" s="15" t="inlineStr">
        <is>
          <t>Finance</t>
        </is>
      </c>
      <c r="D29" s="15" t="inlineStr">
        <is>
          <t>Cash flow set 6: NPV</t>
        </is>
      </c>
      <c r="E29" s="15" t="inlineStr">
        <is>
          <t>₹</t>
        </is>
      </c>
      <c r="F29" s="15" t="inlineStr">
        <is>
          <t>Book</t>
        </is>
      </c>
      <c r="G29" s="15" t="inlineStr">
        <is>
          <t>LibreOffice NPV()</t>
        </is>
      </c>
      <c r="H29" s="15" t="inlineStr">
        <is>
          <t>Within ₹1 (or 0.01% for big amounts)</t>
        </is>
      </c>
      <c r="I29" s="16" t="n"/>
      <c r="J29" s="16" t="n"/>
      <c r="K29" s="16" t="n"/>
      <c r="L29" s="17">
        <f>IF(W29="","",W29)</f>
        <v/>
      </c>
      <c r="M29" s="18">
        <f>IF(O29&lt;&gt;"",O29,Y29)</f>
        <v/>
      </c>
      <c r="N29" s="16" t="n"/>
      <c r="O29" s="19" t="n"/>
      <c r="P29" s="19" t="n"/>
      <c r="Q29" s="19" t="n"/>
      <c r="R29" s="20" t="inlineStr">
        <is>
          <t>—</t>
        </is>
      </c>
      <c r="S29" s="20" t="inlineStr">
        <is>
          <t>n/a</t>
        </is>
      </c>
      <c r="T29" s="20" t="inlineStr">
        <is>
          <t>±abs</t>
        </is>
      </c>
      <c r="U29" s="20" t="n"/>
      <c r="V29" s="20">
        <f>IF(J29="","",MAX(1,0.0001*ABS(J29)))</f>
        <v/>
      </c>
      <c r="W29" s="20">
        <f>IF(AND(ISNUMBER(I29),ISNUMBER(J29)),I29-J29,"")</f>
        <v/>
      </c>
      <c r="X29" s="20">
        <f>IF(AND(ISNUMBER(I29),ISNUMBER(J29)),IF(J29=0,"",(I29-J29)/ABS(J29)),"")</f>
        <v/>
      </c>
      <c r="Y29" s="20">
        <f>IF(T29="Advisory","No pass mark",IF(T29="Manual","Claude will check",IF(I29="","Not done yet",IF(T29="Exact",IF(AND(ISNUMBER(I29),ISNUMBER(J29)),IF(ROUND(I29,2)=ROUND(J29,2),"Pass","Fail"),IF(TRIM(LOWER(I29&amp;""))=TRIM(LOWER(J29&amp;"")),"Pass","Fail")),IF(T29="Min",IF(I29&gt;=U29-1E-9,"Pass","Fail"),IF(T29="Between",IF(AND(I29&gt;=U29,I29&lt;=V29),"Pass","Fail"),IF(J29="","Not done yet",IF(T29="±%",IF(X29="","Check correct answer",IF(ABS(X29)*100&lt;=V29+1E-9,"Pass","Fail")),IF(T29="% range",IF(X29="","Check correct answer",IF(AND(X29*100&gt;=U29-1E-9,X29*100&lt;=V29+1E-9),"Pass","Fail")),IF(T29="±abs",IF(ABS(W29)&lt;=V29+1E-9,"Pass","Fail"),"Check type"))))))))))</f>
        <v/>
      </c>
    </row>
    <row r="30">
      <c r="A30" s="15" t="inlineStr">
        <is>
          <t>S4-024</t>
        </is>
      </c>
      <c r="B30" s="15" t="inlineStr">
        <is>
          <t>A</t>
        </is>
      </c>
      <c r="C30" s="15" t="inlineStr">
        <is>
          <t>Finance</t>
        </is>
      </c>
      <c r="D30" s="15" t="inlineStr">
        <is>
          <t>Cash flow set 6: IRR</t>
        </is>
      </c>
      <c r="E30" s="15" t="inlineStr">
        <is>
          <t>%</t>
        </is>
      </c>
      <c r="F30" s="15" t="inlineStr">
        <is>
          <t>Book</t>
        </is>
      </c>
      <c r="G30" s="15" t="inlineStr">
        <is>
          <t>LibreOffice IRR()</t>
        </is>
      </c>
      <c r="H30" s="15" t="inlineStr">
        <is>
          <t>Within ±0.01 percentage points</t>
        </is>
      </c>
      <c r="I30" s="16" t="n"/>
      <c r="J30" s="16" t="n"/>
      <c r="K30" s="16" t="n"/>
      <c r="L30" s="17">
        <f>IF(W30="","",W30)</f>
        <v/>
      </c>
      <c r="M30" s="18">
        <f>IF(O30&lt;&gt;"",O30,Y30)</f>
        <v/>
      </c>
      <c r="N30" s="16" t="n"/>
      <c r="O30" s="19" t="n"/>
      <c r="P30" s="19" t="n"/>
      <c r="Q30" s="19" t="n"/>
      <c r="R30" s="20" t="inlineStr">
        <is>
          <t>—</t>
        </is>
      </c>
      <c r="S30" s="20" t="inlineStr">
        <is>
          <t>n/a</t>
        </is>
      </c>
      <c r="T30" s="20" t="inlineStr">
        <is>
          <t>±abs</t>
        </is>
      </c>
      <c r="U30" s="20" t="n"/>
      <c r="V30" s="20" t="n">
        <v>0.01</v>
      </c>
      <c r="W30" s="20">
        <f>IF(AND(ISNUMBER(I30),ISNUMBER(J30)),I30-J30,"")</f>
        <v/>
      </c>
      <c r="X30" s="20">
        <f>IF(AND(ISNUMBER(I30),ISNUMBER(J30)),IF(J30=0,"",(I30-J30)/ABS(J30)),"")</f>
        <v/>
      </c>
      <c r="Y30" s="20">
        <f>IF(T30="Advisory","No pass mark",IF(T30="Manual","Claude will check",IF(I30="","Not done yet",IF(T30="Exact",IF(AND(ISNUMBER(I30),ISNUMBER(J30)),IF(ROUND(I30,2)=ROUND(J30,2),"Pass","Fail"),IF(TRIM(LOWER(I30&amp;""))=TRIM(LOWER(J30&amp;"")),"Pass","Fail")),IF(T30="Min",IF(I30&gt;=U30-1E-9,"Pass","Fail"),IF(T30="Between",IF(AND(I30&gt;=U30,I30&lt;=V30),"Pass","Fail"),IF(J30="","Not done yet",IF(T30="±%",IF(X30="","Check correct answer",IF(ABS(X30)*100&lt;=V30+1E-9,"Pass","Fail")),IF(T30="% range",IF(X30="","Check correct answer",IF(AND(X30*100&gt;=U30-1E-9,X30*100&lt;=V30+1E-9),"Pass","Fail")),IF(T30="±abs",IF(ABS(W30)&lt;=V30+1E-9,"Pass","Fail"),"Check type"))))))))))</f>
        <v/>
      </c>
    </row>
    <row r="31">
      <c r="A31" s="15" t="inlineStr">
        <is>
          <t>S4-025</t>
        </is>
      </c>
      <c r="B31" s="15" t="inlineStr">
        <is>
          <t>A</t>
        </is>
      </c>
      <c r="C31" s="15" t="inlineStr">
        <is>
          <t>Finance</t>
        </is>
      </c>
      <c r="D31" s="15" t="inlineStr">
        <is>
          <t>Cash flow set 7: NPV</t>
        </is>
      </c>
      <c r="E31" s="15" t="inlineStr">
        <is>
          <t>₹</t>
        </is>
      </c>
      <c r="F31" s="15" t="inlineStr">
        <is>
          <t>Book</t>
        </is>
      </c>
      <c r="G31" s="15" t="inlineStr">
        <is>
          <t>LibreOffice NPV()</t>
        </is>
      </c>
      <c r="H31" s="15" t="inlineStr">
        <is>
          <t>Within ₹1 (or 0.01% for big amounts)</t>
        </is>
      </c>
      <c r="I31" s="16" t="n"/>
      <c r="J31" s="16" t="n"/>
      <c r="K31" s="16" t="n"/>
      <c r="L31" s="17">
        <f>IF(W31="","",W31)</f>
        <v/>
      </c>
      <c r="M31" s="18">
        <f>IF(O31&lt;&gt;"",O31,Y31)</f>
        <v/>
      </c>
      <c r="N31" s="16" t="n"/>
      <c r="O31" s="19" t="n"/>
      <c r="P31" s="19" t="n"/>
      <c r="Q31" s="19" t="n"/>
      <c r="R31" s="20" t="inlineStr">
        <is>
          <t>—</t>
        </is>
      </c>
      <c r="S31" s="20" t="inlineStr">
        <is>
          <t>n/a</t>
        </is>
      </c>
      <c r="T31" s="20" t="inlineStr">
        <is>
          <t>±abs</t>
        </is>
      </c>
      <c r="U31" s="20" t="n"/>
      <c r="V31" s="20">
        <f>IF(J31="","",MAX(1,0.0001*ABS(J31)))</f>
        <v/>
      </c>
      <c r="W31" s="20">
        <f>IF(AND(ISNUMBER(I31),ISNUMBER(J31)),I31-J31,"")</f>
        <v/>
      </c>
      <c r="X31" s="20">
        <f>IF(AND(ISNUMBER(I31),ISNUMBER(J31)),IF(J31=0,"",(I31-J31)/ABS(J31)),"")</f>
        <v/>
      </c>
      <c r="Y31" s="20">
        <f>IF(T31="Advisory","No pass mark",IF(T31="Manual","Claude will check",IF(I31="","Not done yet",IF(T31="Exact",IF(AND(ISNUMBER(I31),ISNUMBER(J31)),IF(ROUND(I31,2)=ROUND(J31,2),"Pass","Fail"),IF(TRIM(LOWER(I31&amp;""))=TRIM(LOWER(J31&amp;"")),"Pass","Fail")),IF(T31="Min",IF(I31&gt;=U31-1E-9,"Pass","Fail"),IF(T31="Between",IF(AND(I31&gt;=U31,I31&lt;=V31),"Pass","Fail"),IF(J31="","Not done yet",IF(T31="±%",IF(X31="","Check correct answer",IF(ABS(X31)*100&lt;=V31+1E-9,"Pass","Fail")),IF(T31="% range",IF(X31="","Check correct answer",IF(AND(X31*100&gt;=U31-1E-9,X31*100&lt;=V31+1E-9),"Pass","Fail")),IF(T31="±abs",IF(ABS(W31)&lt;=V31+1E-9,"Pass","Fail"),"Check type"))))))))))</f>
        <v/>
      </c>
    </row>
    <row r="32">
      <c r="A32" s="15" t="inlineStr">
        <is>
          <t>S4-026</t>
        </is>
      </c>
      <c r="B32" s="15" t="inlineStr">
        <is>
          <t>A</t>
        </is>
      </c>
      <c r="C32" s="15" t="inlineStr">
        <is>
          <t>Finance</t>
        </is>
      </c>
      <c r="D32" s="15" t="inlineStr">
        <is>
          <t>Cash flow set 7: IRR</t>
        </is>
      </c>
      <c r="E32" s="15" t="inlineStr">
        <is>
          <t>%</t>
        </is>
      </c>
      <c r="F32" s="15" t="inlineStr">
        <is>
          <t>Book</t>
        </is>
      </c>
      <c r="G32" s="15" t="inlineStr">
        <is>
          <t>LibreOffice IRR()</t>
        </is>
      </c>
      <c r="H32" s="15" t="inlineStr">
        <is>
          <t>Within ±0.01 percentage points</t>
        </is>
      </c>
      <c r="I32" s="16" t="n"/>
      <c r="J32" s="16" t="n"/>
      <c r="K32" s="16" t="n"/>
      <c r="L32" s="17">
        <f>IF(W32="","",W32)</f>
        <v/>
      </c>
      <c r="M32" s="18">
        <f>IF(O32&lt;&gt;"",O32,Y32)</f>
        <v/>
      </c>
      <c r="N32" s="16" t="n"/>
      <c r="O32" s="19" t="n"/>
      <c r="P32" s="19" t="n"/>
      <c r="Q32" s="19" t="n"/>
      <c r="R32" s="20" t="inlineStr">
        <is>
          <t>—</t>
        </is>
      </c>
      <c r="S32" s="20" t="inlineStr">
        <is>
          <t>n/a</t>
        </is>
      </c>
      <c r="T32" s="20" t="inlineStr">
        <is>
          <t>±abs</t>
        </is>
      </c>
      <c r="U32" s="20" t="n"/>
      <c r="V32" s="20" t="n">
        <v>0.01</v>
      </c>
      <c r="W32" s="20">
        <f>IF(AND(ISNUMBER(I32),ISNUMBER(J32)),I32-J32,"")</f>
        <v/>
      </c>
      <c r="X32" s="20">
        <f>IF(AND(ISNUMBER(I32),ISNUMBER(J32)),IF(J32=0,"",(I32-J32)/ABS(J32)),"")</f>
        <v/>
      </c>
      <c r="Y32" s="20">
        <f>IF(T32="Advisory","No pass mark",IF(T32="Manual","Claude will check",IF(I32="","Not done yet",IF(T32="Exact",IF(AND(ISNUMBER(I32),ISNUMBER(J32)),IF(ROUND(I32,2)=ROUND(J32,2),"Pass","Fail"),IF(TRIM(LOWER(I32&amp;""))=TRIM(LOWER(J32&amp;"")),"Pass","Fail")),IF(T32="Min",IF(I32&gt;=U32-1E-9,"Pass","Fail"),IF(T32="Between",IF(AND(I32&gt;=U32,I32&lt;=V32),"Pass","Fail"),IF(J32="","Not done yet",IF(T32="±%",IF(X32="","Check correct answer",IF(ABS(X32)*100&lt;=V32+1E-9,"Pass","Fail")),IF(T32="% range",IF(X32="","Check correct answer",IF(AND(X32*100&gt;=U32-1E-9,X32*100&lt;=V32+1E-9),"Pass","Fail")),IF(T32="±abs",IF(ABS(W32)&lt;=V32+1E-9,"Pass","Fail"),"Check type"))))))))))</f>
        <v/>
      </c>
    </row>
    <row r="33">
      <c r="A33" s="15" t="inlineStr">
        <is>
          <t>S4-027</t>
        </is>
      </c>
      <c r="B33" s="15" t="inlineStr">
        <is>
          <t>A</t>
        </is>
      </c>
      <c r="C33" s="15" t="inlineStr">
        <is>
          <t>Finance</t>
        </is>
      </c>
      <c r="D33" s="15" t="inlineStr">
        <is>
          <t>Cash flow set 8: NPV</t>
        </is>
      </c>
      <c r="E33" s="15" t="inlineStr">
        <is>
          <t>₹</t>
        </is>
      </c>
      <c r="F33" s="15" t="inlineStr">
        <is>
          <t>Book</t>
        </is>
      </c>
      <c r="G33" s="15" t="inlineStr">
        <is>
          <t>LibreOffice NPV()</t>
        </is>
      </c>
      <c r="H33" s="15" t="inlineStr">
        <is>
          <t>Within ₹1 (or 0.01% for big amounts)</t>
        </is>
      </c>
      <c r="I33" s="16" t="n"/>
      <c r="J33" s="16" t="n"/>
      <c r="K33" s="16" t="n"/>
      <c r="L33" s="17">
        <f>IF(W33="","",W33)</f>
        <v/>
      </c>
      <c r="M33" s="18">
        <f>IF(O33&lt;&gt;"",O33,Y33)</f>
        <v/>
      </c>
      <c r="N33" s="16" t="n"/>
      <c r="O33" s="19" t="n"/>
      <c r="P33" s="19" t="n"/>
      <c r="Q33" s="19" t="n"/>
      <c r="R33" s="20" t="inlineStr">
        <is>
          <t>—</t>
        </is>
      </c>
      <c r="S33" s="20" t="inlineStr">
        <is>
          <t>n/a</t>
        </is>
      </c>
      <c r="T33" s="20" t="inlineStr">
        <is>
          <t>±abs</t>
        </is>
      </c>
      <c r="U33" s="20" t="n"/>
      <c r="V33" s="20">
        <f>IF(J33="","",MAX(1,0.0001*ABS(J33)))</f>
        <v/>
      </c>
      <c r="W33" s="20">
        <f>IF(AND(ISNUMBER(I33),ISNUMBER(J33)),I33-J33,"")</f>
        <v/>
      </c>
      <c r="X33" s="20">
        <f>IF(AND(ISNUMBER(I33),ISNUMBER(J33)),IF(J33=0,"",(I33-J33)/ABS(J33)),"")</f>
        <v/>
      </c>
      <c r="Y33" s="20">
        <f>IF(T33="Advisory","No pass mark",IF(T33="Manual","Claude will check",IF(I33="","Not done yet",IF(T33="Exact",IF(AND(ISNUMBER(I33),ISNUMBER(J33)),IF(ROUND(I33,2)=ROUND(J33,2),"Pass","Fail"),IF(TRIM(LOWER(I33&amp;""))=TRIM(LOWER(J33&amp;"")),"Pass","Fail")),IF(T33="Min",IF(I33&gt;=U33-1E-9,"Pass","Fail"),IF(T33="Between",IF(AND(I33&gt;=U33,I33&lt;=V33),"Pass","Fail"),IF(J33="","Not done yet",IF(T33="±%",IF(X33="","Check correct answer",IF(ABS(X33)*100&lt;=V33+1E-9,"Pass","Fail")),IF(T33="% range",IF(X33="","Check correct answer",IF(AND(X33*100&gt;=U33-1E-9,X33*100&lt;=V33+1E-9),"Pass","Fail")),IF(T33="±abs",IF(ABS(W33)&lt;=V33+1E-9,"Pass","Fail"),"Check type"))))))))))</f>
        <v/>
      </c>
    </row>
    <row r="34">
      <c r="A34" s="15" t="inlineStr">
        <is>
          <t>S4-028</t>
        </is>
      </c>
      <c r="B34" s="15" t="inlineStr">
        <is>
          <t>A</t>
        </is>
      </c>
      <c r="C34" s="15" t="inlineStr">
        <is>
          <t>Finance</t>
        </is>
      </c>
      <c r="D34" s="15" t="inlineStr">
        <is>
          <t>Cash flow set 8: IRR</t>
        </is>
      </c>
      <c r="E34" s="15" t="inlineStr">
        <is>
          <t>%</t>
        </is>
      </c>
      <c r="F34" s="15" t="inlineStr">
        <is>
          <t>Book</t>
        </is>
      </c>
      <c r="G34" s="15" t="inlineStr">
        <is>
          <t>LibreOffice IRR()</t>
        </is>
      </c>
      <c r="H34" s="15" t="inlineStr">
        <is>
          <t>Within ±0.01 percentage points</t>
        </is>
      </c>
      <c r="I34" s="16" t="n"/>
      <c r="J34" s="16" t="n"/>
      <c r="K34" s="16" t="n"/>
      <c r="L34" s="17">
        <f>IF(W34="","",W34)</f>
        <v/>
      </c>
      <c r="M34" s="18">
        <f>IF(O34&lt;&gt;"",O34,Y34)</f>
        <v/>
      </c>
      <c r="N34" s="16" t="n"/>
      <c r="O34" s="19" t="n"/>
      <c r="P34" s="19" t="n"/>
      <c r="Q34" s="19" t="n"/>
      <c r="R34" s="20" t="inlineStr">
        <is>
          <t>—</t>
        </is>
      </c>
      <c r="S34" s="20" t="inlineStr">
        <is>
          <t>n/a</t>
        </is>
      </c>
      <c r="T34" s="20" t="inlineStr">
        <is>
          <t>±abs</t>
        </is>
      </c>
      <c r="U34" s="20" t="n"/>
      <c r="V34" s="20" t="n">
        <v>0.01</v>
      </c>
      <c r="W34" s="20">
        <f>IF(AND(ISNUMBER(I34),ISNUMBER(J34)),I34-J34,"")</f>
        <v/>
      </c>
      <c r="X34" s="20">
        <f>IF(AND(ISNUMBER(I34),ISNUMBER(J34)),IF(J34=0,"",(I34-J34)/ABS(J34)),"")</f>
        <v/>
      </c>
      <c r="Y34" s="20">
        <f>IF(T34="Advisory","No pass mark",IF(T34="Manual","Claude will check",IF(I34="","Not done yet",IF(T34="Exact",IF(AND(ISNUMBER(I34),ISNUMBER(J34)),IF(ROUND(I34,2)=ROUND(J34,2),"Pass","Fail"),IF(TRIM(LOWER(I34&amp;""))=TRIM(LOWER(J34&amp;"")),"Pass","Fail")),IF(T34="Min",IF(I34&gt;=U34-1E-9,"Pass","Fail"),IF(T34="Between",IF(AND(I34&gt;=U34,I34&lt;=V34),"Pass","Fail"),IF(J34="","Not done yet",IF(T34="±%",IF(X34="","Check correct answer",IF(ABS(X34)*100&lt;=V34+1E-9,"Pass","Fail")),IF(T34="% range",IF(X34="","Check correct answer",IF(AND(X34*100&gt;=U34-1E-9,X34*100&lt;=V34+1E-9),"Pass","Fail")),IF(T34="±abs",IF(ABS(W34)&lt;=V34+1E-9,"Pass","Fail"),"Check type"))))))))))</f>
        <v/>
      </c>
    </row>
    <row r="35">
      <c r="A35" s="15" t="inlineStr">
        <is>
          <t>S4-029</t>
        </is>
      </c>
      <c r="B35" s="15" t="inlineStr">
        <is>
          <t>A</t>
        </is>
      </c>
      <c r="C35" s="15" t="inlineStr">
        <is>
          <t>Finance</t>
        </is>
      </c>
      <c r="D35" s="15" t="inlineStr">
        <is>
          <t>Cash flow set 9: NPV</t>
        </is>
      </c>
      <c r="E35" s="15" t="inlineStr">
        <is>
          <t>₹</t>
        </is>
      </c>
      <c r="F35" s="15" t="inlineStr">
        <is>
          <t>Book</t>
        </is>
      </c>
      <c r="G35" s="15" t="inlineStr">
        <is>
          <t>LibreOffice NPV()</t>
        </is>
      </c>
      <c r="H35" s="15" t="inlineStr">
        <is>
          <t>Within ₹1 (or 0.01% for big amounts)</t>
        </is>
      </c>
      <c r="I35" s="16" t="n"/>
      <c r="J35" s="16" t="n"/>
      <c r="K35" s="16" t="n"/>
      <c r="L35" s="17">
        <f>IF(W35="","",W35)</f>
        <v/>
      </c>
      <c r="M35" s="18">
        <f>IF(O35&lt;&gt;"",O35,Y35)</f>
        <v/>
      </c>
      <c r="N35" s="16" t="n"/>
      <c r="O35" s="19" t="n"/>
      <c r="P35" s="19" t="n"/>
      <c r="Q35" s="19" t="n"/>
      <c r="R35" s="20" t="inlineStr">
        <is>
          <t>—</t>
        </is>
      </c>
      <c r="S35" s="20" t="inlineStr">
        <is>
          <t>n/a</t>
        </is>
      </c>
      <c r="T35" s="20" t="inlineStr">
        <is>
          <t>±abs</t>
        </is>
      </c>
      <c r="U35" s="20" t="n"/>
      <c r="V35" s="20">
        <f>IF(J35="","",MAX(1,0.0001*ABS(J35)))</f>
        <v/>
      </c>
      <c r="W35" s="20">
        <f>IF(AND(ISNUMBER(I35),ISNUMBER(J35)),I35-J35,"")</f>
        <v/>
      </c>
      <c r="X35" s="20">
        <f>IF(AND(ISNUMBER(I35),ISNUMBER(J35)),IF(J35=0,"",(I35-J35)/ABS(J35)),"")</f>
        <v/>
      </c>
      <c r="Y35" s="20">
        <f>IF(T35="Advisory","No pass mark",IF(T35="Manual","Claude will check",IF(I35="","Not done yet",IF(T35="Exact",IF(AND(ISNUMBER(I35),ISNUMBER(J35)),IF(ROUND(I35,2)=ROUND(J35,2),"Pass","Fail"),IF(TRIM(LOWER(I35&amp;""))=TRIM(LOWER(J35&amp;"")),"Pass","Fail")),IF(T35="Min",IF(I35&gt;=U35-1E-9,"Pass","Fail"),IF(T35="Between",IF(AND(I35&gt;=U35,I35&lt;=V35),"Pass","Fail"),IF(J35="","Not done yet",IF(T35="±%",IF(X35="","Check correct answer",IF(ABS(X35)*100&lt;=V35+1E-9,"Pass","Fail")),IF(T35="% range",IF(X35="","Check correct answer",IF(AND(X35*100&gt;=U35-1E-9,X35*100&lt;=V35+1E-9),"Pass","Fail")),IF(T35="±abs",IF(ABS(W35)&lt;=V35+1E-9,"Pass","Fail"),"Check type"))))))))))</f>
        <v/>
      </c>
    </row>
    <row r="36">
      <c r="A36" s="15" t="inlineStr">
        <is>
          <t>S4-030</t>
        </is>
      </c>
      <c r="B36" s="15" t="inlineStr">
        <is>
          <t>A</t>
        </is>
      </c>
      <c r="C36" s="15" t="inlineStr">
        <is>
          <t>Finance</t>
        </is>
      </c>
      <c r="D36" s="15" t="inlineStr">
        <is>
          <t>Cash flow set 9: IRR</t>
        </is>
      </c>
      <c r="E36" s="15" t="inlineStr">
        <is>
          <t>%</t>
        </is>
      </c>
      <c r="F36" s="15" t="inlineStr">
        <is>
          <t>Book</t>
        </is>
      </c>
      <c r="G36" s="15" t="inlineStr">
        <is>
          <t>LibreOffice IRR()</t>
        </is>
      </c>
      <c r="H36" s="15" t="inlineStr">
        <is>
          <t>Within ±0.01 percentage points</t>
        </is>
      </c>
      <c r="I36" s="16" t="n"/>
      <c r="J36" s="16" t="n"/>
      <c r="K36" s="16" t="n"/>
      <c r="L36" s="17">
        <f>IF(W36="","",W36)</f>
        <v/>
      </c>
      <c r="M36" s="18">
        <f>IF(O36&lt;&gt;"",O36,Y36)</f>
        <v/>
      </c>
      <c r="N36" s="16" t="n"/>
      <c r="O36" s="19" t="n"/>
      <c r="P36" s="19" t="n"/>
      <c r="Q36" s="19" t="n"/>
      <c r="R36" s="20" t="inlineStr">
        <is>
          <t>—</t>
        </is>
      </c>
      <c r="S36" s="20" t="inlineStr">
        <is>
          <t>n/a</t>
        </is>
      </c>
      <c r="T36" s="20" t="inlineStr">
        <is>
          <t>±abs</t>
        </is>
      </c>
      <c r="U36" s="20" t="n"/>
      <c r="V36" s="20" t="n">
        <v>0.01</v>
      </c>
      <c r="W36" s="20">
        <f>IF(AND(ISNUMBER(I36),ISNUMBER(J36)),I36-J36,"")</f>
        <v/>
      </c>
      <c r="X36" s="20">
        <f>IF(AND(ISNUMBER(I36),ISNUMBER(J36)),IF(J36=0,"",(I36-J36)/ABS(J36)),"")</f>
        <v/>
      </c>
      <c r="Y36" s="20">
        <f>IF(T36="Advisory","No pass mark",IF(T36="Manual","Claude will check",IF(I36="","Not done yet",IF(T36="Exact",IF(AND(ISNUMBER(I36),ISNUMBER(J36)),IF(ROUND(I36,2)=ROUND(J36,2),"Pass","Fail"),IF(TRIM(LOWER(I36&amp;""))=TRIM(LOWER(J36&amp;"")),"Pass","Fail")),IF(T36="Min",IF(I36&gt;=U36-1E-9,"Pass","Fail"),IF(T36="Between",IF(AND(I36&gt;=U36,I36&lt;=V36),"Pass","Fail"),IF(J36="","Not done yet",IF(T36="±%",IF(X36="","Check correct answer",IF(ABS(X36)*100&lt;=V36+1E-9,"Pass","Fail")),IF(T36="% range",IF(X36="","Check correct answer",IF(AND(X36*100&gt;=U36-1E-9,X36*100&lt;=V36+1E-9),"Pass","Fail")),IF(T36="±abs",IF(ABS(W36)&lt;=V36+1E-9,"Pass","Fail"),"Check type"))))))))))</f>
        <v/>
      </c>
    </row>
    <row r="37">
      <c r="A37" s="15" t="inlineStr">
        <is>
          <t>S4-031</t>
        </is>
      </c>
      <c r="B37" s="15" t="inlineStr">
        <is>
          <t>A</t>
        </is>
      </c>
      <c r="C37" s="15" t="inlineStr">
        <is>
          <t>Finance</t>
        </is>
      </c>
      <c r="D37" s="15" t="inlineStr">
        <is>
          <t>Cash flow set 10: NPV</t>
        </is>
      </c>
      <c r="E37" s="15" t="inlineStr">
        <is>
          <t>₹</t>
        </is>
      </c>
      <c r="F37" s="15" t="inlineStr">
        <is>
          <t>Book</t>
        </is>
      </c>
      <c r="G37" s="15" t="inlineStr">
        <is>
          <t>LibreOffice NPV()</t>
        </is>
      </c>
      <c r="H37" s="15" t="inlineStr">
        <is>
          <t>Within ₹1 (or 0.01% for big amounts)</t>
        </is>
      </c>
      <c r="I37" s="16" t="n"/>
      <c r="J37" s="16" t="n"/>
      <c r="K37" s="16" t="n"/>
      <c r="L37" s="17">
        <f>IF(W37="","",W37)</f>
        <v/>
      </c>
      <c r="M37" s="18">
        <f>IF(O37&lt;&gt;"",O37,Y37)</f>
        <v/>
      </c>
      <c r="N37" s="16" t="n"/>
      <c r="O37" s="19" t="n"/>
      <c r="P37" s="19" t="n"/>
      <c r="Q37" s="19" t="n"/>
      <c r="R37" s="20" t="inlineStr">
        <is>
          <t>—</t>
        </is>
      </c>
      <c r="S37" s="20" t="inlineStr">
        <is>
          <t>n/a</t>
        </is>
      </c>
      <c r="T37" s="20" t="inlineStr">
        <is>
          <t>±abs</t>
        </is>
      </c>
      <c r="U37" s="20" t="n"/>
      <c r="V37" s="20">
        <f>IF(J37="","",MAX(1,0.0001*ABS(J37)))</f>
        <v/>
      </c>
      <c r="W37" s="20">
        <f>IF(AND(ISNUMBER(I37),ISNUMBER(J37)),I37-J37,"")</f>
        <v/>
      </c>
      <c r="X37" s="20">
        <f>IF(AND(ISNUMBER(I37),ISNUMBER(J37)),IF(J37=0,"",(I37-J37)/ABS(J37)),"")</f>
        <v/>
      </c>
      <c r="Y37" s="20">
        <f>IF(T37="Advisory","No pass mark",IF(T37="Manual","Claude will check",IF(I37="","Not done yet",IF(T37="Exact",IF(AND(ISNUMBER(I37),ISNUMBER(J37)),IF(ROUND(I37,2)=ROUND(J37,2),"Pass","Fail"),IF(TRIM(LOWER(I37&amp;""))=TRIM(LOWER(J37&amp;"")),"Pass","Fail")),IF(T37="Min",IF(I37&gt;=U37-1E-9,"Pass","Fail"),IF(T37="Between",IF(AND(I37&gt;=U37,I37&lt;=V37),"Pass","Fail"),IF(J37="","Not done yet",IF(T37="±%",IF(X37="","Check correct answer",IF(ABS(X37)*100&lt;=V37+1E-9,"Pass","Fail")),IF(T37="% range",IF(X37="","Check correct answer",IF(AND(X37*100&gt;=U37-1E-9,X37*100&lt;=V37+1E-9),"Pass","Fail")),IF(T37="±abs",IF(ABS(W37)&lt;=V37+1E-9,"Pass","Fail"),"Check type"))))))))))</f>
        <v/>
      </c>
    </row>
    <row r="38">
      <c r="A38" s="15" t="inlineStr">
        <is>
          <t>S4-032</t>
        </is>
      </c>
      <c r="B38" s="15" t="inlineStr">
        <is>
          <t>A</t>
        </is>
      </c>
      <c r="C38" s="15" t="inlineStr">
        <is>
          <t>Finance</t>
        </is>
      </c>
      <c r="D38" s="15" t="inlineStr">
        <is>
          <t>Cash flow set 10: IRR</t>
        </is>
      </c>
      <c r="E38" s="15" t="inlineStr">
        <is>
          <t>%</t>
        </is>
      </c>
      <c r="F38" s="15" t="inlineStr">
        <is>
          <t>Book</t>
        </is>
      </c>
      <c r="G38" s="15" t="inlineStr">
        <is>
          <t>LibreOffice IRR()</t>
        </is>
      </c>
      <c r="H38" s="15" t="inlineStr">
        <is>
          <t>Within ±0.01 percentage points</t>
        </is>
      </c>
      <c r="I38" s="16" t="n"/>
      <c r="J38" s="16" t="n"/>
      <c r="K38" s="16" t="n"/>
      <c r="L38" s="17">
        <f>IF(W38="","",W38)</f>
        <v/>
      </c>
      <c r="M38" s="18">
        <f>IF(O38&lt;&gt;"",O38,Y38)</f>
        <v/>
      </c>
      <c r="N38" s="16" t="n"/>
      <c r="O38" s="19" t="n"/>
      <c r="P38" s="19" t="n"/>
      <c r="Q38" s="19" t="n"/>
      <c r="R38" s="20" t="inlineStr">
        <is>
          <t>—</t>
        </is>
      </c>
      <c r="S38" s="20" t="inlineStr">
        <is>
          <t>n/a</t>
        </is>
      </c>
      <c r="T38" s="20" t="inlineStr">
        <is>
          <t>±abs</t>
        </is>
      </c>
      <c r="U38" s="20" t="n"/>
      <c r="V38" s="20" t="n">
        <v>0.01</v>
      </c>
      <c r="W38" s="20">
        <f>IF(AND(ISNUMBER(I38),ISNUMBER(J38)),I38-J38,"")</f>
        <v/>
      </c>
      <c r="X38" s="20">
        <f>IF(AND(ISNUMBER(I38),ISNUMBER(J38)),IF(J38=0,"",(I38-J38)/ABS(J38)),"")</f>
        <v/>
      </c>
      <c r="Y38" s="20">
        <f>IF(T38="Advisory","No pass mark",IF(T38="Manual","Claude will check",IF(I38="","Not done yet",IF(T38="Exact",IF(AND(ISNUMBER(I38),ISNUMBER(J38)),IF(ROUND(I38,2)=ROUND(J38,2),"Pass","Fail"),IF(TRIM(LOWER(I38&amp;""))=TRIM(LOWER(J38&amp;"")),"Pass","Fail")),IF(T38="Min",IF(I38&gt;=U38-1E-9,"Pass","Fail"),IF(T38="Between",IF(AND(I38&gt;=U38,I38&lt;=V38),"Pass","Fail"),IF(J38="","Not done yet",IF(T38="±%",IF(X38="","Check correct answer",IF(ABS(X38)*100&lt;=V38+1E-9,"Pass","Fail")),IF(T38="% range",IF(X38="","Check correct answer",IF(AND(X38*100&gt;=U38-1E-9,X38*100&lt;=V38+1E-9),"Pass","Fail")),IF(T38="±abs",IF(ABS(W38)&lt;=V38+1E-9,"Pass","Fail"),"Check type"))))))))))</f>
        <v/>
      </c>
    </row>
    <row r="39">
      <c r="A39" s="15" t="inlineStr">
        <is>
          <t>S4-033</t>
        </is>
      </c>
      <c r="B39" s="15" t="inlineStr">
        <is>
          <t>A</t>
        </is>
      </c>
      <c r="C39" s="15" t="inlineStr">
        <is>
          <t>Finance</t>
        </is>
      </c>
      <c r="D39" s="15" t="inlineStr">
        <is>
          <t>Textbook feasibility example: NPV</t>
        </is>
      </c>
      <c r="E39" s="15" t="inlineStr">
        <is>
          <t>₹</t>
        </is>
      </c>
      <c r="F39" s="15" t="inlineStr">
        <is>
          <t>Real</t>
        </is>
      </c>
      <c r="G39" s="15" t="inlineStr">
        <is>
          <t>Textbook example</t>
        </is>
      </c>
      <c r="H39" s="15" t="inlineStr">
        <is>
          <t>Within ₹1 (or 0.01% for big amounts)</t>
        </is>
      </c>
      <c r="I39" s="16" t="n"/>
      <c r="J39" s="16" t="n"/>
      <c r="K39" s="16" t="n"/>
      <c r="L39" s="17">
        <f>IF(W39="","",W39)</f>
        <v/>
      </c>
      <c r="M39" s="18">
        <f>IF(O39&lt;&gt;"",O39,Y39)</f>
        <v/>
      </c>
      <c r="N39" s="16" t="n"/>
      <c r="O39" s="19" t="n"/>
      <c r="P39" s="19" t="n"/>
      <c r="Q39" s="19" t="n"/>
      <c r="R39" s="20" t="inlineStr">
        <is>
          <t>—</t>
        </is>
      </c>
      <c r="S39" s="20" t="inlineStr">
        <is>
          <t>n/a</t>
        </is>
      </c>
      <c r="T39" s="20" t="inlineStr">
        <is>
          <t>±abs</t>
        </is>
      </c>
      <c r="U39" s="20" t="n"/>
      <c r="V39" s="20">
        <f>IF(J39="","",MAX(1,0.0001*ABS(J39)))</f>
        <v/>
      </c>
      <c r="W39" s="20">
        <f>IF(AND(ISNUMBER(I39),ISNUMBER(J39)),I39-J39,"")</f>
        <v/>
      </c>
      <c r="X39" s="20">
        <f>IF(AND(ISNUMBER(I39),ISNUMBER(J39)),IF(J39=0,"",(I39-J39)/ABS(J39)),"")</f>
        <v/>
      </c>
      <c r="Y39" s="20">
        <f>IF(T39="Advisory","No pass mark",IF(T39="Manual","Claude will check",IF(I39="","Not done yet",IF(T39="Exact",IF(AND(ISNUMBER(I39),ISNUMBER(J39)),IF(ROUND(I39,2)=ROUND(J39,2),"Pass","Fail"),IF(TRIM(LOWER(I39&amp;""))=TRIM(LOWER(J39&amp;"")),"Pass","Fail")),IF(T39="Min",IF(I39&gt;=U39-1E-9,"Pass","Fail"),IF(T39="Between",IF(AND(I39&gt;=U39,I39&lt;=V39),"Pass","Fail"),IF(J39="","Not done yet",IF(T39="±%",IF(X39="","Check correct answer",IF(ABS(X39)*100&lt;=V39+1E-9,"Pass","Fail")),IF(T39="% range",IF(X39="","Check correct answer",IF(AND(X39*100&gt;=U39-1E-9,X39*100&lt;=V39+1E-9),"Pass","Fail")),IF(T39="±abs",IF(ABS(W39)&lt;=V39+1E-9,"Pass","Fail"),"Check type"))))))))))</f>
        <v/>
      </c>
    </row>
    <row r="40">
      <c r="A40" s="15" t="inlineStr">
        <is>
          <t>S4-034</t>
        </is>
      </c>
      <c r="B40" s="15" t="inlineStr">
        <is>
          <t>A</t>
        </is>
      </c>
      <c r="C40" s="15" t="inlineStr">
        <is>
          <t>Finance</t>
        </is>
      </c>
      <c r="D40" s="15" t="inlineStr">
        <is>
          <t>Textbook feasibility example: IRR</t>
        </is>
      </c>
      <c r="E40" s="15" t="inlineStr">
        <is>
          <t>%</t>
        </is>
      </c>
      <c r="F40" s="15" t="inlineStr">
        <is>
          <t>Real</t>
        </is>
      </c>
      <c r="G40" s="15" t="inlineStr">
        <is>
          <t>Textbook example</t>
        </is>
      </c>
      <c r="H40" s="15" t="inlineStr">
        <is>
          <t>Within ±0.01 percentage points</t>
        </is>
      </c>
      <c r="I40" s="16" t="n"/>
      <c r="J40" s="16" t="n"/>
      <c r="K40" s="16" t="n"/>
      <c r="L40" s="17">
        <f>IF(W40="","",W40)</f>
        <v/>
      </c>
      <c r="M40" s="18">
        <f>IF(O40&lt;&gt;"",O40,Y40)</f>
        <v/>
      </c>
      <c r="N40" s="16" t="n"/>
      <c r="O40" s="19" t="n"/>
      <c r="P40" s="19" t="n"/>
      <c r="Q40" s="19" t="n"/>
      <c r="R40" s="20" t="inlineStr">
        <is>
          <t>—</t>
        </is>
      </c>
      <c r="S40" s="20" t="inlineStr">
        <is>
          <t>n/a</t>
        </is>
      </c>
      <c r="T40" s="20" t="inlineStr">
        <is>
          <t>±abs</t>
        </is>
      </c>
      <c r="U40" s="20" t="n"/>
      <c r="V40" s="20" t="n">
        <v>0.01</v>
      </c>
      <c r="W40" s="20">
        <f>IF(AND(ISNUMBER(I40),ISNUMBER(J40)),I40-J40,"")</f>
        <v/>
      </c>
      <c r="X40" s="20">
        <f>IF(AND(ISNUMBER(I40),ISNUMBER(J40)),IF(J40=0,"",(I40-J40)/ABS(J40)),"")</f>
        <v/>
      </c>
      <c r="Y40" s="20">
        <f>IF(T40="Advisory","No pass mark",IF(T40="Manual","Claude will check",IF(I40="","Not done yet",IF(T40="Exact",IF(AND(ISNUMBER(I40),ISNUMBER(J40)),IF(ROUND(I40,2)=ROUND(J40,2),"Pass","Fail"),IF(TRIM(LOWER(I40&amp;""))=TRIM(LOWER(J40&amp;"")),"Pass","Fail")),IF(T40="Min",IF(I40&gt;=U40-1E-9,"Pass","Fail"),IF(T40="Between",IF(AND(I40&gt;=U40,I40&lt;=V40),"Pass","Fail"),IF(J40="","Not done yet",IF(T40="±%",IF(X40="","Check correct answer",IF(ABS(X40)*100&lt;=V40+1E-9,"Pass","Fail")),IF(T40="% range",IF(X40="","Check correct answer",IF(AND(X40*100&gt;=U40-1E-9,X40*100&lt;=V40+1E-9),"Pass","Fail")),IF(T40="±abs",IF(ABS(W40)&lt;=V40+1E-9,"Pass","Fail"),"Check type"))))))))))</f>
        <v/>
      </c>
    </row>
    <row r="41">
      <c r="A41" s="15" t="inlineStr">
        <is>
          <t>S4-035</t>
        </is>
      </c>
      <c r="B41" s="15" t="inlineStr">
        <is>
          <t>A</t>
        </is>
      </c>
      <c r="C41" s="15" t="inlineStr">
        <is>
          <t>Equipment and procurement</t>
        </is>
      </c>
      <c r="D41" s="15" t="inlineStr">
        <is>
          <t>Scenario 1: rule cases behave as written</t>
        </is>
      </c>
      <c r="E41" s="15" t="inlineStr">
        <is>
          <t>—</t>
        </is>
      </c>
      <c r="F41" s="15" t="inlineStr">
        <is>
          <t>Book</t>
        </is>
      </c>
      <c r="G41" s="15" t="inlineStr">
        <is>
          <t>Rule cases</t>
        </is>
      </c>
      <c r="H41" s="15" t="inlineStr">
        <is>
          <t>No pass mark (advisory)</t>
        </is>
      </c>
      <c r="I41" s="16" t="n"/>
      <c r="J41" s="16" t="n"/>
      <c r="K41" s="16" t="n"/>
      <c r="L41" s="17" t="n"/>
      <c r="M41" s="18">
        <f>IF(O41&lt;&gt;"",O41,Y41)</f>
        <v/>
      </c>
      <c r="N41" s="16" t="n"/>
      <c r="O41" s="19" t="n"/>
      <c r="P41" s="19" t="n"/>
      <c r="Q41" s="19" t="n"/>
      <c r="R41" s="20" t="inlineStr">
        <is>
          <t>—</t>
        </is>
      </c>
      <c r="S41" s="20" t="inlineStr">
        <is>
          <t>n/a</t>
        </is>
      </c>
      <c r="T41" s="20" t="inlineStr">
        <is>
          <t>Advisory</t>
        </is>
      </c>
      <c r="U41" s="20" t="n"/>
      <c r="V41" s="20" t="n"/>
      <c r="W41" s="20">
        <f>IF(AND(ISNUMBER(I41),ISNUMBER(J41)),I41-J41,"")</f>
        <v/>
      </c>
      <c r="X41" s="20">
        <f>IF(AND(ISNUMBER(I41),ISNUMBER(J41)),IF(J41=0,"",(I41-J41)/ABS(J41)),"")</f>
        <v/>
      </c>
      <c r="Y41" s="20">
        <f>IF(T41="Advisory","No pass mark",IF(T41="Manual","Claude will check",IF(I41="","Not done yet",IF(T41="Exact",IF(AND(ISNUMBER(I41),ISNUMBER(J41)),IF(ROUND(I41,2)=ROUND(J41,2),"Pass","Fail"),IF(TRIM(LOWER(I41&amp;""))=TRIM(LOWER(J41&amp;"")),"Pass","Fail")),IF(T41="Min",IF(I41&gt;=U41-1E-9,"Pass","Fail"),IF(T41="Between",IF(AND(I41&gt;=U41,I41&lt;=V41),"Pass","Fail"),IF(J41="","Not done yet",IF(T41="±%",IF(X41="","Check correct answer",IF(ABS(X41)*100&lt;=V41+1E-9,"Pass","Fail")),IF(T41="% range",IF(X41="","Check correct answer",IF(AND(X41*100&gt;=U41-1E-9,X41*100&lt;=V41+1E-9),"Pass","Fail")),IF(T41="±abs",IF(ABS(W41)&lt;=V41+1E-9,"Pass","Fail"),"Check type"))))))))))</f>
        <v/>
      </c>
    </row>
    <row r="42">
      <c r="A42" s="15" t="inlineStr">
        <is>
          <t>S4-036</t>
        </is>
      </c>
      <c r="B42" s="15" t="inlineStr">
        <is>
          <t>A</t>
        </is>
      </c>
      <c r="C42" s="15" t="inlineStr">
        <is>
          <t>Equipment and procurement</t>
        </is>
      </c>
      <c r="D42" s="15" t="inlineStr">
        <is>
          <t>Scenario 2: rule cases behave as written</t>
        </is>
      </c>
      <c r="E42" s="15" t="inlineStr">
        <is>
          <t>—</t>
        </is>
      </c>
      <c r="F42" s="15" t="inlineStr">
        <is>
          <t>Book</t>
        </is>
      </c>
      <c r="G42" s="15" t="inlineStr">
        <is>
          <t>Rule cases</t>
        </is>
      </c>
      <c r="H42" s="15" t="inlineStr">
        <is>
          <t>No pass mark (advisory)</t>
        </is>
      </c>
      <c r="I42" s="16" t="n"/>
      <c r="J42" s="16" t="n"/>
      <c r="K42" s="16" t="n"/>
      <c r="L42" s="17" t="n"/>
      <c r="M42" s="18">
        <f>IF(O42&lt;&gt;"",O42,Y42)</f>
        <v/>
      </c>
      <c r="N42" s="16" t="n"/>
      <c r="O42" s="19" t="n"/>
      <c r="P42" s="19" t="n"/>
      <c r="Q42" s="19" t="n"/>
      <c r="R42" s="20" t="inlineStr">
        <is>
          <t>—</t>
        </is>
      </c>
      <c r="S42" s="20" t="inlineStr">
        <is>
          <t>n/a</t>
        </is>
      </c>
      <c r="T42" s="20" t="inlineStr">
        <is>
          <t>Advisory</t>
        </is>
      </c>
      <c r="U42" s="20" t="n"/>
      <c r="V42" s="20" t="n"/>
      <c r="W42" s="20">
        <f>IF(AND(ISNUMBER(I42),ISNUMBER(J42)),I42-J42,"")</f>
        <v/>
      </c>
      <c r="X42" s="20">
        <f>IF(AND(ISNUMBER(I42),ISNUMBER(J42)),IF(J42=0,"",(I42-J42)/ABS(J42)),"")</f>
        <v/>
      </c>
      <c r="Y42" s="20">
        <f>IF(T42="Advisory","No pass mark",IF(T42="Manual","Claude will check",IF(I42="","Not done yet",IF(T42="Exact",IF(AND(ISNUMBER(I42),ISNUMBER(J42)),IF(ROUND(I42,2)=ROUND(J42,2),"Pass","Fail"),IF(TRIM(LOWER(I42&amp;""))=TRIM(LOWER(J42&amp;"")),"Pass","Fail")),IF(T42="Min",IF(I42&gt;=U42-1E-9,"Pass","Fail"),IF(T42="Between",IF(AND(I42&gt;=U42,I42&lt;=V42),"Pass","Fail"),IF(J42="","Not done yet",IF(T42="±%",IF(X42="","Check correct answer",IF(ABS(X42)*100&lt;=V42+1E-9,"Pass","Fail")),IF(T42="% range",IF(X42="","Check correct answer",IF(AND(X42*100&gt;=U42-1E-9,X42*100&lt;=V42+1E-9),"Pass","Fail")),IF(T42="±abs",IF(ABS(W42)&lt;=V42+1E-9,"Pass","Fail"),"Check type"))))))))))</f>
        <v/>
      </c>
    </row>
    <row r="43">
      <c r="A43" s="21" t="n"/>
      <c r="B43" s="22" t="inlineStr">
        <is>
          <t>B's tests (28)</t>
        </is>
      </c>
      <c r="C43" s="21" t="n"/>
      <c r="D43" s="21" t="n"/>
      <c r="E43" s="21" t="n"/>
      <c r="F43" s="21" t="n"/>
      <c r="G43" s="21" t="n"/>
      <c r="H43" s="21" t="n"/>
      <c r="I43" s="21" t="n"/>
      <c r="J43" s="21" t="n"/>
      <c r="K43" s="21" t="n"/>
      <c r="L43" s="21" t="n"/>
      <c r="M43" s="21" t="n"/>
      <c r="N43" s="21" t="n"/>
      <c r="O43" s="21" t="n"/>
      <c r="P43" s="21" t="n"/>
      <c r="Q43" s="21" t="n"/>
    </row>
    <row r="44">
      <c r="A44" s="15" t="inlineStr">
        <is>
          <t>S4-037</t>
        </is>
      </c>
      <c r="B44" s="15" t="inlineStr">
        <is>
          <t>B</t>
        </is>
      </c>
      <c r="C44" s="15" t="inlineStr">
        <is>
          <t>Cost estimate</t>
        </is>
      </c>
      <c r="D44" s="15" t="inlineStr">
        <is>
          <t>BOQ item 1: rate × quantity</t>
        </is>
      </c>
      <c r="E44" s="15" t="inlineStr">
        <is>
          <t>₹</t>
        </is>
      </c>
      <c r="F44" s="15" t="inlineStr">
        <is>
          <t>Book</t>
        </is>
      </c>
      <c r="G44" s="15" t="inlineStr">
        <is>
          <t>Priced by hand from the same rate sources</t>
        </is>
      </c>
      <c r="H44" s="15" t="inlineStr">
        <is>
          <t>Within 2% of correct answer</t>
        </is>
      </c>
      <c r="I44" s="16" t="n"/>
      <c r="J44" s="16" t="n"/>
      <c r="K44" s="16" t="n"/>
      <c r="L44" s="25">
        <f>IF(X44="","",X44)</f>
        <v/>
      </c>
      <c r="M44" s="18">
        <f>IF(O44&lt;&gt;"",O44,Y44)</f>
        <v/>
      </c>
      <c r="N44" s="16" t="n"/>
      <c r="O44" s="19" t="n"/>
      <c r="P44" s="19" t="n"/>
      <c r="Q44" s="19" t="n"/>
      <c r="R44" s="20" t="inlineStr">
        <is>
          <t>CPWD DSR + Bengaluru cost index</t>
        </is>
      </c>
      <c r="S44" s="20" t="inlineStr">
        <is>
          <t>Record edition</t>
        </is>
      </c>
      <c r="T44" s="20" t="inlineStr">
        <is>
          <t>±%</t>
        </is>
      </c>
      <c r="U44" s="20" t="n"/>
      <c r="V44" s="20" t="n">
        <v>2</v>
      </c>
      <c r="W44" s="20">
        <f>IF(AND(ISNUMBER(I44),ISNUMBER(J44)),I44-J44,"")</f>
        <v/>
      </c>
      <c r="X44" s="20">
        <f>IF(AND(ISNUMBER(I44),ISNUMBER(J44)),IF(J44=0,"",(I44-J44)/ABS(J44)),"")</f>
        <v/>
      </c>
      <c r="Y44" s="20">
        <f>IF(T44="Advisory","No pass mark",IF(T44="Manual","Claude will check",IF(I44="","Not done yet",IF(T44="Exact",IF(AND(ISNUMBER(I44),ISNUMBER(J44)),IF(ROUND(I44,2)=ROUND(J44,2),"Pass","Fail"),IF(TRIM(LOWER(I44&amp;""))=TRIM(LOWER(J44&amp;"")),"Pass","Fail")),IF(T44="Min",IF(I44&gt;=U44-1E-9,"Pass","Fail"),IF(T44="Between",IF(AND(I44&gt;=U44,I44&lt;=V44),"Pass","Fail"),IF(J44="","Not done yet",IF(T44="±%",IF(X44="","Check correct answer",IF(ABS(X44)*100&lt;=V44+1E-9,"Pass","Fail")),IF(T44="% range",IF(X44="","Check correct answer",IF(AND(X44*100&gt;=U44-1E-9,X44*100&lt;=V44+1E-9),"Pass","Fail")),IF(T44="±abs",IF(ABS(W44)&lt;=V44+1E-9,"Pass","Fail"),"Check type"))))))))))</f>
        <v/>
      </c>
    </row>
    <row r="45">
      <c r="A45" s="15" t="inlineStr">
        <is>
          <t>S4-038</t>
        </is>
      </c>
      <c r="B45" s="15" t="inlineStr">
        <is>
          <t>B</t>
        </is>
      </c>
      <c r="C45" s="15" t="inlineStr">
        <is>
          <t>Cost estimate</t>
        </is>
      </c>
      <c r="D45" s="15" t="inlineStr">
        <is>
          <t>BOQ item 2: rate × quantity</t>
        </is>
      </c>
      <c r="E45" s="15" t="inlineStr">
        <is>
          <t>₹</t>
        </is>
      </c>
      <c r="F45" s="15" t="inlineStr">
        <is>
          <t>Book</t>
        </is>
      </c>
      <c r="G45" s="15" t="inlineStr">
        <is>
          <t>Priced by hand from the same rate sources</t>
        </is>
      </c>
      <c r="H45" s="15" t="inlineStr">
        <is>
          <t>Within 2% of correct answer</t>
        </is>
      </c>
      <c r="I45" s="16" t="n"/>
      <c r="J45" s="16" t="n"/>
      <c r="K45" s="16" t="n"/>
      <c r="L45" s="25">
        <f>IF(X45="","",X45)</f>
        <v/>
      </c>
      <c r="M45" s="18">
        <f>IF(O45&lt;&gt;"",O45,Y45)</f>
        <v/>
      </c>
      <c r="N45" s="16" t="n"/>
      <c r="O45" s="19" t="n"/>
      <c r="P45" s="19" t="n"/>
      <c r="Q45" s="19" t="n"/>
      <c r="R45" s="20" t="inlineStr">
        <is>
          <t>CPWD DSR + Bengaluru cost index</t>
        </is>
      </c>
      <c r="S45" s="20" t="inlineStr">
        <is>
          <t>Record edition</t>
        </is>
      </c>
      <c r="T45" s="20" t="inlineStr">
        <is>
          <t>±%</t>
        </is>
      </c>
      <c r="U45" s="20" t="n"/>
      <c r="V45" s="20" t="n">
        <v>2</v>
      </c>
      <c r="W45" s="20">
        <f>IF(AND(ISNUMBER(I45),ISNUMBER(J45)),I45-J45,"")</f>
        <v/>
      </c>
      <c r="X45" s="20">
        <f>IF(AND(ISNUMBER(I45),ISNUMBER(J45)),IF(J45=0,"",(I45-J45)/ABS(J45)),"")</f>
        <v/>
      </c>
      <c r="Y45" s="20">
        <f>IF(T45="Advisory","No pass mark",IF(T45="Manual","Claude will check",IF(I45="","Not done yet",IF(T45="Exact",IF(AND(ISNUMBER(I45),ISNUMBER(J45)),IF(ROUND(I45,2)=ROUND(J45,2),"Pass","Fail"),IF(TRIM(LOWER(I45&amp;""))=TRIM(LOWER(J45&amp;"")),"Pass","Fail")),IF(T45="Min",IF(I45&gt;=U45-1E-9,"Pass","Fail"),IF(T45="Between",IF(AND(I45&gt;=U45,I45&lt;=V45),"Pass","Fail"),IF(J45="","Not done yet",IF(T45="±%",IF(X45="","Check correct answer",IF(ABS(X45)*100&lt;=V45+1E-9,"Pass","Fail")),IF(T45="% range",IF(X45="","Check correct answer",IF(AND(X45*100&gt;=U45-1E-9,X45*100&lt;=V45+1E-9),"Pass","Fail")),IF(T45="±abs",IF(ABS(W45)&lt;=V45+1E-9,"Pass","Fail"),"Check type"))))))))))</f>
        <v/>
      </c>
    </row>
    <row r="46">
      <c r="A46" s="15" t="inlineStr">
        <is>
          <t>S4-039</t>
        </is>
      </c>
      <c r="B46" s="15" t="inlineStr">
        <is>
          <t>B</t>
        </is>
      </c>
      <c r="C46" s="15" t="inlineStr">
        <is>
          <t>Cost estimate</t>
        </is>
      </c>
      <c r="D46" s="15" t="inlineStr">
        <is>
          <t>BOQ item 3: rate × quantity</t>
        </is>
      </c>
      <c r="E46" s="15" t="inlineStr">
        <is>
          <t>₹</t>
        </is>
      </c>
      <c r="F46" s="15" t="inlineStr">
        <is>
          <t>Book</t>
        </is>
      </c>
      <c r="G46" s="15" t="inlineStr">
        <is>
          <t>Priced by hand from the same rate sources</t>
        </is>
      </c>
      <c r="H46" s="15" t="inlineStr">
        <is>
          <t>Within 2% of correct answer</t>
        </is>
      </c>
      <c r="I46" s="16" t="n"/>
      <c r="J46" s="16" t="n"/>
      <c r="K46" s="16" t="n"/>
      <c r="L46" s="25">
        <f>IF(X46="","",X46)</f>
        <v/>
      </c>
      <c r="M46" s="18">
        <f>IF(O46&lt;&gt;"",O46,Y46)</f>
        <v/>
      </c>
      <c r="N46" s="16" t="n"/>
      <c r="O46" s="19" t="n"/>
      <c r="P46" s="19" t="n"/>
      <c r="Q46" s="19" t="n"/>
      <c r="R46" s="20" t="inlineStr">
        <is>
          <t>CPWD DSR + Bengaluru cost index</t>
        </is>
      </c>
      <c r="S46" s="20" t="inlineStr">
        <is>
          <t>Record edition</t>
        </is>
      </c>
      <c r="T46" s="20" t="inlineStr">
        <is>
          <t>±%</t>
        </is>
      </c>
      <c r="U46" s="20" t="n"/>
      <c r="V46" s="20" t="n">
        <v>2</v>
      </c>
      <c r="W46" s="20">
        <f>IF(AND(ISNUMBER(I46),ISNUMBER(J46)),I46-J46,"")</f>
        <v/>
      </c>
      <c r="X46" s="20">
        <f>IF(AND(ISNUMBER(I46),ISNUMBER(J46)),IF(J46=0,"",(I46-J46)/ABS(J46)),"")</f>
        <v/>
      </c>
      <c r="Y46" s="20">
        <f>IF(T46="Advisory","No pass mark",IF(T46="Manual","Claude will check",IF(I46="","Not done yet",IF(T46="Exact",IF(AND(ISNUMBER(I46),ISNUMBER(J46)),IF(ROUND(I46,2)=ROUND(J46,2),"Pass","Fail"),IF(TRIM(LOWER(I46&amp;""))=TRIM(LOWER(J46&amp;"")),"Pass","Fail")),IF(T46="Min",IF(I46&gt;=U46-1E-9,"Pass","Fail"),IF(T46="Between",IF(AND(I46&gt;=U46,I46&lt;=V46),"Pass","Fail"),IF(J46="","Not done yet",IF(T46="±%",IF(X46="","Check correct answer",IF(ABS(X46)*100&lt;=V46+1E-9,"Pass","Fail")),IF(T46="% range",IF(X46="","Check correct answer",IF(AND(X46*100&gt;=U46-1E-9,X46*100&lt;=V46+1E-9),"Pass","Fail")),IF(T46="±abs",IF(ABS(W46)&lt;=V46+1E-9,"Pass","Fail"),"Check type"))))))))))</f>
        <v/>
      </c>
    </row>
    <row r="47">
      <c r="A47" s="15" t="inlineStr">
        <is>
          <t>S4-040</t>
        </is>
      </c>
      <c r="B47" s="15" t="inlineStr">
        <is>
          <t>B</t>
        </is>
      </c>
      <c r="C47" s="15" t="inlineStr">
        <is>
          <t>Cost estimate</t>
        </is>
      </c>
      <c r="D47" s="15" t="inlineStr">
        <is>
          <t>BOQ item 4: rate × quantity</t>
        </is>
      </c>
      <c r="E47" s="15" t="inlineStr">
        <is>
          <t>₹</t>
        </is>
      </c>
      <c r="F47" s="15" t="inlineStr">
        <is>
          <t>Book</t>
        </is>
      </c>
      <c r="G47" s="15" t="inlineStr">
        <is>
          <t>Priced by hand from the same rate sources</t>
        </is>
      </c>
      <c r="H47" s="15" t="inlineStr">
        <is>
          <t>Within 2% of correct answer</t>
        </is>
      </c>
      <c r="I47" s="16" t="n"/>
      <c r="J47" s="16" t="n"/>
      <c r="K47" s="16" t="n"/>
      <c r="L47" s="25">
        <f>IF(X47="","",X47)</f>
        <v/>
      </c>
      <c r="M47" s="18">
        <f>IF(O47&lt;&gt;"",O47,Y47)</f>
        <v/>
      </c>
      <c r="N47" s="16" t="n"/>
      <c r="O47" s="19" t="n"/>
      <c r="P47" s="19" t="n"/>
      <c r="Q47" s="19" t="n"/>
      <c r="R47" s="20" t="inlineStr">
        <is>
          <t>CPWD DSR + Bengaluru cost index</t>
        </is>
      </c>
      <c r="S47" s="20" t="inlineStr">
        <is>
          <t>Record edition</t>
        </is>
      </c>
      <c r="T47" s="20" t="inlineStr">
        <is>
          <t>±%</t>
        </is>
      </c>
      <c r="U47" s="20" t="n"/>
      <c r="V47" s="20" t="n">
        <v>2</v>
      </c>
      <c r="W47" s="20">
        <f>IF(AND(ISNUMBER(I47),ISNUMBER(J47)),I47-J47,"")</f>
        <v/>
      </c>
      <c r="X47" s="20">
        <f>IF(AND(ISNUMBER(I47),ISNUMBER(J47)),IF(J47=0,"",(I47-J47)/ABS(J47)),"")</f>
        <v/>
      </c>
      <c r="Y47" s="20">
        <f>IF(T47="Advisory","No pass mark",IF(T47="Manual","Claude will check",IF(I47="","Not done yet",IF(T47="Exact",IF(AND(ISNUMBER(I47),ISNUMBER(J47)),IF(ROUND(I47,2)=ROUND(J47,2),"Pass","Fail"),IF(TRIM(LOWER(I47&amp;""))=TRIM(LOWER(J47&amp;"")),"Pass","Fail")),IF(T47="Min",IF(I47&gt;=U47-1E-9,"Pass","Fail"),IF(T47="Between",IF(AND(I47&gt;=U47,I47&lt;=V47),"Pass","Fail"),IF(J47="","Not done yet",IF(T47="±%",IF(X47="","Check correct answer",IF(ABS(X47)*100&lt;=V47+1E-9,"Pass","Fail")),IF(T47="% range",IF(X47="","Check correct answer",IF(AND(X47*100&gt;=U47-1E-9,X47*100&lt;=V47+1E-9),"Pass","Fail")),IF(T47="±abs",IF(ABS(W47)&lt;=V47+1E-9,"Pass","Fail"),"Check type"))))))))))</f>
        <v/>
      </c>
    </row>
    <row r="48">
      <c r="A48" s="15" t="inlineStr">
        <is>
          <t>S4-041</t>
        </is>
      </c>
      <c r="B48" s="15" t="inlineStr">
        <is>
          <t>B</t>
        </is>
      </c>
      <c r="C48" s="15" t="inlineStr">
        <is>
          <t>Cost estimate</t>
        </is>
      </c>
      <c r="D48" s="15" t="inlineStr">
        <is>
          <t>BOQ item 5: rate × quantity</t>
        </is>
      </c>
      <c r="E48" s="15" t="inlineStr">
        <is>
          <t>₹</t>
        </is>
      </c>
      <c r="F48" s="15" t="inlineStr">
        <is>
          <t>Book</t>
        </is>
      </c>
      <c r="G48" s="15" t="inlineStr">
        <is>
          <t>Priced by hand from the same rate sources</t>
        </is>
      </c>
      <c r="H48" s="15" t="inlineStr">
        <is>
          <t>Within 2% of correct answer</t>
        </is>
      </c>
      <c r="I48" s="16" t="n"/>
      <c r="J48" s="16" t="n"/>
      <c r="K48" s="16" t="n"/>
      <c r="L48" s="25">
        <f>IF(X48="","",X48)</f>
        <v/>
      </c>
      <c r="M48" s="18">
        <f>IF(O48&lt;&gt;"",O48,Y48)</f>
        <v/>
      </c>
      <c r="N48" s="16" t="n"/>
      <c r="O48" s="19" t="n"/>
      <c r="P48" s="19" t="n"/>
      <c r="Q48" s="19" t="n"/>
      <c r="R48" s="20" t="inlineStr">
        <is>
          <t>CPWD DSR + Bengaluru cost index</t>
        </is>
      </c>
      <c r="S48" s="20" t="inlineStr">
        <is>
          <t>Record edition</t>
        </is>
      </c>
      <c r="T48" s="20" t="inlineStr">
        <is>
          <t>±%</t>
        </is>
      </c>
      <c r="U48" s="20" t="n"/>
      <c r="V48" s="20" t="n">
        <v>2</v>
      </c>
      <c r="W48" s="20">
        <f>IF(AND(ISNUMBER(I48),ISNUMBER(J48)),I48-J48,"")</f>
        <v/>
      </c>
      <c r="X48" s="20">
        <f>IF(AND(ISNUMBER(I48),ISNUMBER(J48)),IF(J48=0,"",(I48-J48)/ABS(J48)),"")</f>
        <v/>
      </c>
      <c r="Y48" s="20">
        <f>IF(T48="Advisory","No pass mark",IF(T48="Manual","Claude will check",IF(I48="","Not done yet",IF(T48="Exact",IF(AND(ISNUMBER(I48),ISNUMBER(J48)),IF(ROUND(I48,2)=ROUND(J48,2),"Pass","Fail"),IF(TRIM(LOWER(I48&amp;""))=TRIM(LOWER(J48&amp;"")),"Pass","Fail")),IF(T48="Min",IF(I48&gt;=U48-1E-9,"Pass","Fail"),IF(T48="Between",IF(AND(I48&gt;=U48,I48&lt;=V48),"Pass","Fail"),IF(J48="","Not done yet",IF(T48="±%",IF(X48="","Check correct answer",IF(ABS(X48)*100&lt;=V48+1E-9,"Pass","Fail")),IF(T48="% range",IF(X48="","Check correct answer",IF(AND(X48*100&gt;=U48-1E-9,X48*100&lt;=V48+1E-9),"Pass","Fail")),IF(T48="±abs",IF(ABS(W48)&lt;=V48+1E-9,"Pass","Fail"),"Check type"))))))))))</f>
        <v/>
      </c>
    </row>
    <row r="49">
      <c r="A49" s="15" t="inlineStr">
        <is>
          <t>S4-042</t>
        </is>
      </c>
      <c r="B49" s="15" t="inlineStr">
        <is>
          <t>B</t>
        </is>
      </c>
      <c r="C49" s="15" t="inlineStr">
        <is>
          <t>Cost estimate</t>
        </is>
      </c>
      <c r="D49" s="15" t="inlineStr">
        <is>
          <t>BOQ item 6: rate × quantity</t>
        </is>
      </c>
      <c r="E49" s="15" t="inlineStr">
        <is>
          <t>₹</t>
        </is>
      </c>
      <c r="F49" s="15" t="inlineStr">
        <is>
          <t>Book</t>
        </is>
      </c>
      <c r="G49" s="15" t="inlineStr">
        <is>
          <t>Priced by hand from the same rate sources</t>
        </is>
      </c>
      <c r="H49" s="15" t="inlineStr">
        <is>
          <t>Within 2% of correct answer</t>
        </is>
      </c>
      <c r="I49" s="16" t="n"/>
      <c r="J49" s="16" t="n"/>
      <c r="K49" s="16" t="n"/>
      <c r="L49" s="25">
        <f>IF(X49="","",X49)</f>
        <v/>
      </c>
      <c r="M49" s="18">
        <f>IF(O49&lt;&gt;"",O49,Y49)</f>
        <v/>
      </c>
      <c r="N49" s="16" t="n"/>
      <c r="O49" s="19" t="n"/>
      <c r="P49" s="19" t="n"/>
      <c r="Q49" s="19" t="n"/>
      <c r="R49" s="20" t="inlineStr">
        <is>
          <t>CPWD DSR + Bengaluru cost index</t>
        </is>
      </c>
      <c r="S49" s="20" t="inlineStr">
        <is>
          <t>Record edition</t>
        </is>
      </c>
      <c r="T49" s="20" t="inlineStr">
        <is>
          <t>±%</t>
        </is>
      </c>
      <c r="U49" s="20" t="n"/>
      <c r="V49" s="20" t="n">
        <v>2</v>
      </c>
      <c r="W49" s="20">
        <f>IF(AND(ISNUMBER(I49),ISNUMBER(J49)),I49-J49,"")</f>
        <v/>
      </c>
      <c r="X49" s="20">
        <f>IF(AND(ISNUMBER(I49),ISNUMBER(J49)),IF(J49=0,"",(I49-J49)/ABS(J49)),"")</f>
        <v/>
      </c>
      <c r="Y49" s="20">
        <f>IF(T49="Advisory","No pass mark",IF(T49="Manual","Claude will check",IF(I49="","Not done yet",IF(T49="Exact",IF(AND(ISNUMBER(I49),ISNUMBER(J49)),IF(ROUND(I49,2)=ROUND(J49,2),"Pass","Fail"),IF(TRIM(LOWER(I49&amp;""))=TRIM(LOWER(J49&amp;"")),"Pass","Fail")),IF(T49="Min",IF(I49&gt;=U49-1E-9,"Pass","Fail"),IF(T49="Between",IF(AND(I49&gt;=U49,I49&lt;=V49),"Pass","Fail"),IF(J49="","Not done yet",IF(T49="±%",IF(X49="","Check correct answer",IF(ABS(X49)*100&lt;=V49+1E-9,"Pass","Fail")),IF(T49="% range",IF(X49="","Check correct answer",IF(AND(X49*100&gt;=U49-1E-9,X49*100&lt;=V49+1E-9),"Pass","Fail")),IF(T49="±abs",IF(ABS(W49)&lt;=V49+1E-9,"Pass","Fail"),"Check type"))))))))))</f>
        <v/>
      </c>
    </row>
    <row r="50">
      <c r="A50" s="15" t="inlineStr">
        <is>
          <t>S4-043</t>
        </is>
      </c>
      <c r="B50" s="15" t="inlineStr">
        <is>
          <t>B</t>
        </is>
      </c>
      <c r="C50" s="15" t="inlineStr">
        <is>
          <t>Cost estimate</t>
        </is>
      </c>
      <c r="D50" s="15" t="inlineStr">
        <is>
          <t>BOQ item 7: rate × quantity</t>
        </is>
      </c>
      <c r="E50" s="15" t="inlineStr">
        <is>
          <t>₹</t>
        </is>
      </c>
      <c r="F50" s="15" t="inlineStr">
        <is>
          <t>Book</t>
        </is>
      </c>
      <c r="G50" s="15" t="inlineStr">
        <is>
          <t>Priced by hand from the same rate sources</t>
        </is>
      </c>
      <c r="H50" s="15" t="inlineStr">
        <is>
          <t>Within 2% of correct answer</t>
        </is>
      </c>
      <c r="I50" s="16" t="n"/>
      <c r="J50" s="16" t="n"/>
      <c r="K50" s="16" t="n"/>
      <c r="L50" s="25">
        <f>IF(X50="","",X50)</f>
        <v/>
      </c>
      <c r="M50" s="18">
        <f>IF(O50&lt;&gt;"",O50,Y50)</f>
        <v/>
      </c>
      <c r="N50" s="16" t="n"/>
      <c r="O50" s="19" t="n"/>
      <c r="P50" s="19" t="n"/>
      <c r="Q50" s="19" t="n"/>
      <c r="R50" s="20" t="inlineStr">
        <is>
          <t>CPWD DSR + Bengaluru cost index</t>
        </is>
      </c>
      <c r="S50" s="20" t="inlineStr">
        <is>
          <t>Record edition</t>
        </is>
      </c>
      <c r="T50" s="20" t="inlineStr">
        <is>
          <t>±%</t>
        </is>
      </c>
      <c r="U50" s="20" t="n"/>
      <c r="V50" s="20" t="n">
        <v>2</v>
      </c>
      <c r="W50" s="20">
        <f>IF(AND(ISNUMBER(I50),ISNUMBER(J50)),I50-J50,"")</f>
        <v/>
      </c>
      <c r="X50" s="20">
        <f>IF(AND(ISNUMBER(I50),ISNUMBER(J50)),IF(J50=0,"",(I50-J50)/ABS(J50)),"")</f>
        <v/>
      </c>
      <c r="Y50" s="20">
        <f>IF(T50="Advisory","No pass mark",IF(T50="Manual","Claude will check",IF(I50="","Not done yet",IF(T50="Exact",IF(AND(ISNUMBER(I50),ISNUMBER(J50)),IF(ROUND(I50,2)=ROUND(J50,2),"Pass","Fail"),IF(TRIM(LOWER(I50&amp;""))=TRIM(LOWER(J50&amp;"")),"Pass","Fail")),IF(T50="Min",IF(I50&gt;=U50-1E-9,"Pass","Fail"),IF(T50="Between",IF(AND(I50&gt;=U50,I50&lt;=V50),"Pass","Fail"),IF(J50="","Not done yet",IF(T50="±%",IF(X50="","Check correct answer",IF(ABS(X50)*100&lt;=V50+1E-9,"Pass","Fail")),IF(T50="% range",IF(X50="","Check correct answer",IF(AND(X50*100&gt;=U50-1E-9,X50*100&lt;=V50+1E-9),"Pass","Fail")),IF(T50="±abs",IF(ABS(W50)&lt;=V50+1E-9,"Pass","Fail"),"Check type"))))))))))</f>
        <v/>
      </c>
    </row>
    <row r="51">
      <c r="A51" s="15" t="inlineStr">
        <is>
          <t>S4-044</t>
        </is>
      </c>
      <c r="B51" s="15" t="inlineStr">
        <is>
          <t>B</t>
        </is>
      </c>
      <c r="C51" s="15" t="inlineStr">
        <is>
          <t>Cost estimate</t>
        </is>
      </c>
      <c r="D51" s="15" t="inlineStr">
        <is>
          <t>BOQ item 8: rate × quantity</t>
        </is>
      </c>
      <c r="E51" s="15" t="inlineStr">
        <is>
          <t>₹</t>
        </is>
      </c>
      <c r="F51" s="15" t="inlineStr">
        <is>
          <t>Book</t>
        </is>
      </c>
      <c r="G51" s="15" t="inlineStr">
        <is>
          <t>Priced by hand from the same rate sources</t>
        </is>
      </c>
      <c r="H51" s="15" t="inlineStr">
        <is>
          <t>Within 2% of correct answer</t>
        </is>
      </c>
      <c r="I51" s="16" t="n"/>
      <c r="J51" s="16" t="n"/>
      <c r="K51" s="16" t="n"/>
      <c r="L51" s="25">
        <f>IF(X51="","",X51)</f>
        <v/>
      </c>
      <c r="M51" s="18">
        <f>IF(O51&lt;&gt;"",O51,Y51)</f>
        <v/>
      </c>
      <c r="N51" s="16" t="n"/>
      <c r="O51" s="19" t="n"/>
      <c r="P51" s="19" t="n"/>
      <c r="Q51" s="19" t="n"/>
      <c r="R51" s="20" t="inlineStr">
        <is>
          <t>CPWD DSR + Bengaluru cost index</t>
        </is>
      </c>
      <c r="S51" s="20" t="inlineStr">
        <is>
          <t>Record edition</t>
        </is>
      </c>
      <c r="T51" s="20" t="inlineStr">
        <is>
          <t>±%</t>
        </is>
      </c>
      <c r="U51" s="20" t="n"/>
      <c r="V51" s="20" t="n">
        <v>2</v>
      </c>
      <c r="W51" s="20">
        <f>IF(AND(ISNUMBER(I51),ISNUMBER(J51)),I51-J51,"")</f>
        <v/>
      </c>
      <c r="X51" s="20">
        <f>IF(AND(ISNUMBER(I51),ISNUMBER(J51)),IF(J51=0,"",(I51-J51)/ABS(J51)),"")</f>
        <v/>
      </c>
      <c r="Y51" s="20">
        <f>IF(T51="Advisory","No pass mark",IF(T51="Manual","Claude will check",IF(I51="","Not done yet",IF(T51="Exact",IF(AND(ISNUMBER(I51),ISNUMBER(J51)),IF(ROUND(I51,2)=ROUND(J51,2),"Pass","Fail"),IF(TRIM(LOWER(I51&amp;""))=TRIM(LOWER(J51&amp;"")),"Pass","Fail")),IF(T51="Min",IF(I51&gt;=U51-1E-9,"Pass","Fail"),IF(T51="Between",IF(AND(I51&gt;=U51,I51&lt;=V51),"Pass","Fail"),IF(J51="","Not done yet",IF(T51="±%",IF(X51="","Check correct answer",IF(ABS(X51)*100&lt;=V51+1E-9,"Pass","Fail")),IF(T51="% range",IF(X51="","Check correct answer",IF(AND(X51*100&gt;=U51-1E-9,X51*100&lt;=V51+1E-9),"Pass","Fail")),IF(T51="±abs",IF(ABS(W51)&lt;=V51+1E-9,"Pass","Fail"),"Check type"))))))))))</f>
        <v/>
      </c>
    </row>
    <row r="52">
      <c r="A52" s="15" t="inlineStr">
        <is>
          <t>S4-045</t>
        </is>
      </c>
      <c r="B52" s="15" t="inlineStr">
        <is>
          <t>B</t>
        </is>
      </c>
      <c r="C52" s="15" t="inlineStr">
        <is>
          <t>Cost estimate</t>
        </is>
      </c>
      <c r="D52" s="15" t="inlineStr">
        <is>
          <t>BOQ item 9: rate × quantity</t>
        </is>
      </c>
      <c r="E52" s="15" t="inlineStr">
        <is>
          <t>₹</t>
        </is>
      </c>
      <c r="F52" s="15" t="inlineStr">
        <is>
          <t>Book</t>
        </is>
      </c>
      <c r="G52" s="15" t="inlineStr">
        <is>
          <t>Priced by hand from the same rate sources</t>
        </is>
      </c>
      <c r="H52" s="15" t="inlineStr">
        <is>
          <t>Within 2% of correct answer</t>
        </is>
      </c>
      <c r="I52" s="16" t="n"/>
      <c r="J52" s="16" t="n"/>
      <c r="K52" s="16" t="n"/>
      <c r="L52" s="25">
        <f>IF(X52="","",X52)</f>
        <v/>
      </c>
      <c r="M52" s="18">
        <f>IF(O52&lt;&gt;"",O52,Y52)</f>
        <v/>
      </c>
      <c r="N52" s="16" t="n"/>
      <c r="O52" s="19" t="n"/>
      <c r="P52" s="19" t="n"/>
      <c r="Q52" s="19" t="n"/>
      <c r="R52" s="20" t="inlineStr">
        <is>
          <t>CPWD DSR + Bengaluru cost index</t>
        </is>
      </c>
      <c r="S52" s="20" t="inlineStr">
        <is>
          <t>Record edition</t>
        </is>
      </c>
      <c r="T52" s="20" t="inlineStr">
        <is>
          <t>±%</t>
        </is>
      </c>
      <c r="U52" s="20" t="n"/>
      <c r="V52" s="20" t="n">
        <v>2</v>
      </c>
      <c r="W52" s="20">
        <f>IF(AND(ISNUMBER(I52),ISNUMBER(J52)),I52-J52,"")</f>
        <v/>
      </c>
      <c r="X52" s="20">
        <f>IF(AND(ISNUMBER(I52),ISNUMBER(J52)),IF(J52=0,"",(I52-J52)/ABS(J52)),"")</f>
        <v/>
      </c>
      <c r="Y52" s="20">
        <f>IF(T52="Advisory","No pass mark",IF(T52="Manual","Claude will check",IF(I52="","Not done yet",IF(T52="Exact",IF(AND(ISNUMBER(I52),ISNUMBER(J52)),IF(ROUND(I52,2)=ROUND(J52,2),"Pass","Fail"),IF(TRIM(LOWER(I52&amp;""))=TRIM(LOWER(J52&amp;"")),"Pass","Fail")),IF(T52="Min",IF(I52&gt;=U52-1E-9,"Pass","Fail"),IF(T52="Between",IF(AND(I52&gt;=U52,I52&lt;=V52),"Pass","Fail"),IF(J52="","Not done yet",IF(T52="±%",IF(X52="","Check correct answer",IF(ABS(X52)*100&lt;=V52+1E-9,"Pass","Fail")),IF(T52="% range",IF(X52="","Check correct answer",IF(AND(X52*100&gt;=U52-1E-9,X52*100&lt;=V52+1E-9),"Pass","Fail")),IF(T52="±abs",IF(ABS(W52)&lt;=V52+1E-9,"Pass","Fail"),"Check type"))))))))))</f>
        <v/>
      </c>
    </row>
    <row r="53">
      <c r="A53" s="15" t="inlineStr">
        <is>
          <t>S4-046</t>
        </is>
      </c>
      <c r="B53" s="15" t="inlineStr">
        <is>
          <t>B</t>
        </is>
      </c>
      <c r="C53" s="15" t="inlineStr">
        <is>
          <t>Cost estimate</t>
        </is>
      </c>
      <c r="D53" s="15" t="inlineStr">
        <is>
          <t>BOQ item 10: rate × quantity</t>
        </is>
      </c>
      <c r="E53" s="15" t="inlineStr">
        <is>
          <t>₹</t>
        </is>
      </c>
      <c r="F53" s="15" t="inlineStr">
        <is>
          <t>Book</t>
        </is>
      </c>
      <c r="G53" s="15" t="inlineStr">
        <is>
          <t>Priced by hand from the same rate sources</t>
        </is>
      </c>
      <c r="H53" s="15" t="inlineStr">
        <is>
          <t>Within 2% of correct answer</t>
        </is>
      </c>
      <c r="I53" s="16" t="n"/>
      <c r="J53" s="16" t="n"/>
      <c r="K53" s="16" t="n"/>
      <c r="L53" s="25">
        <f>IF(X53="","",X53)</f>
        <v/>
      </c>
      <c r="M53" s="18">
        <f>IF(O53&lt;&gt;"",O53,Y53)</f>
        <v/>
      </c>
      <c r="N53" s="16" t="n"/>
      <c r="O53" s="19" t="n"/>
      <c r="P53" s="19" t="n"/>
      <c r="Q53" s="19" t="n"/>
      <c r="R53" s="20" t="inlineStr">
        <is>
          <t>CPWD DSR + Bengaluru cost index</t>
        </is>
      </c>
      <c r="S53" s="20" t="inlineStr">
        <is>
          <t>Record edition</t>
        </is>
      </c>
      <c r="T53" s="20" t="inlineStr">
        <is>
          <t>±%</t>
        </is>
      </c>
      <c r="U53" s="20" t="n"/>
      <c r="V53" s="20" t="n">
        <v>2</v>
      </c>
      <c r="W53" s="20">
        <f>IF(AND(ISNUMBER(I53),ISNUMBER(J53)),I53-J53,"")</f>
        <v/>
      </c>
      <c r="X53" s="20">
        <f>IF(AND(ISNUMBER(I53),ISNUMBER(J53)),IF(J53=0,"",(I53-J53)/ABS(J53)),"")</f>
        <v/>
      </c>
      <c r="Y53" s="20">
        <f>IF(T53="Advisory","No pass mark",IF(T53="Manual","Claude will check",IF(I53="","Not done yet",IF(T53="Exact",IF(AND(ISNUMBER(I53),ISNUMBER(J53)),IF(ROUND(I53,2)=ROUND(J53,2),"Pass","Fail"),IF(TRIM(LOWER(I53&amp;""))=TRIM(LOWER(J53&amp;"")),"Pass","Fail")),IF(T53="Min",IF(I53&gt;=U53-1E-9,"Pass","Fail"),IF(T53="Between",IF(AND(I53&gt;=U53,I53&lt;=V53),"Pass","Fail"),IF(J53="","Not done yet",IF(T53="±%",IF(X53="","Check correct answer",IF(ABS(X53)*100&lt;=V53+1E-9,"Pass","Fail")),IF(T53="% range",IF(X53="","Check correct answer",IF(AND(X53*100&gt;=U53-1E-9,X53*100&lt;=V53+1E-9),"Pass","Fail")),IF(T53="±abs",IF(ABS(W53)&lt;=V53+1E-9,"Pass","Fail"),"Check type"))))))))))</f>
        <v/>
      </c>
    </row>
    <row r="54">
      <c r="A54" s="15" t="inlineStr">
        <is>
          <t>S4-047</t>
        </is>
      </c>
      <c r="B54" s="15" t="inlineStr">
        <is>
          <t>B</t>
        </is>
      </c>
      <c r="C54" s="15" t="inlineStr">
        <is>
          <t>Cost estimate</t>
        </is>
      </c>
      <c r="D54" s="15" t="inlineStr">
        <is>
          <t>BOQ item 11: rate × quantity</t>
        </is>
      </c>
      <c r="E54" s="15" t="inlineStr">
        <is>
          <t>₹</t>
        </is>
      </c>
      <c r="F54" s="15" t="inlineStr">
        <is>
          <t>Book</t>
        </is>
      </c>
      <c r="G54" s="15" t="inlineStr">
        <is>
          <t>Priced by hand from the same rate sources</t>
        </is>
      </c>
      <c r="H54" s="15" t="inlineStr">
        <is>
          <t>Within 2% of correct answer</t>
        </is>
      </c>
      <c r="I54" s="16" t="n"/>
      <c r="J54" s="16" t="n"/>
      <c r="K54" s="16" t="n"/>
      <c r="L54" s="25">
        <f>IF(X54="","",X54)</f>
        <v/>
      </c>
      <c r="M54" s="18">
        <f>IF(O54&lt;&gt;"",O54,Y54)</f>
        <v/>
      </c>
      <c r="N54" s="16" t="n"/>
      <c r="O54" s="19" t="n"/>
      <c r="P54" s="19" t="n"/>
      <c r="Q54" s="19" t="n"/>
      <c r="R54" s="20" t="inlineStr">
        <is>
          <t>CPWD DSR + Bengaluru cost index</t>
        </is>
      </c>
      <c r="S54" s="20" t="inlineStr">
        <is>
          <t>Record edition</t>
        </is>
      </c>
      <c r="T54" s="20" t="inlineStr">
        <is>
          <t>±%</t>
        </is>
      </c>
      <c r="U54" s="20" t="n"/>
      <c r="V54" s="20" t="n">
        <v>2</v>
      </c>
      <c r="W54" s="20">
        <f>IF(AND(ISNUMBER(I54),ISNUMBER(J54)),I54-J54,"")</f>
        <v/>
      </c>
      <c r="X54" s="20">
        <f>IF(AND(ISNUMBER(I54),ISNUMBER(J54)),IF(J54=0,"",(I54-J54)/ABS(J54)),"")</f>
        <v/>
      </c>
      <c r="Y54" s="20">
        <f>IF(T54="Advisory","No pass mark",IF(T54="Manual","Claude will check",IF(I54="","Not done yet",IF(T54="Exact",IF(AND(ISNUMBER(I54),ISNUMBER(J54)),IF(ROUND(I54,2)=ROUND(J54,2),"Pass","Fail"),IF(TRIM(LOWER(I54&amp;""))=TRIM(LOWER(J54&amp;"")),"Pass","Fail")),IF(T54="Min",IF(I54&gt;=U54-1E-9,"Pass","Fail"),IF(T54="Between",IF(AND(I54&gt;=U54,I54&lt;=V54),"Pass","Fail"),IF(J54="","Not done yet",IF(T54="±%",IF(X54="","Check correct answer",IF(ABS(X54)*100&lt;=V54+1E-9,"Pass","Fail")),IF(T54="% range",IF(X54="","Check correct answer",IF(AND(X54*100&gt;=U54-1E-9,X54*100&lt;=V54+1E-9),"Pass","Fail")),IF(T54="±abs",IF(ABS(W54)&lt;=V54+1E-9,"Pass","Fail"),"Check type"))))))))))</f>
        <v/>
      </c>
    </row>
    <row r="55">
      <c r="A55" s="15" t="inlineStr">
        <is>
          <t>S4-048</t>
        </is>
      </c>
      <c r="B55" s="15" t="inlineStr">
        <is>
          <t>B</t>
        </is>
      </c>
      <c r="C55" s="15" t="inlineStr">
        <is>
          <t>Cost estimate</t>
        </is>
      </c>
      <c r="D55" s="15" t="inlineStr">
        <is>
          <t>BOQ item 12: rate × quantity</t>
        </is>
      </c>
      <c r="E55" s="15" t="inlineStr">
        <is>
          <t>₹</t>
        </is>
      </c>
      <c r="F55" s="15" t="inlineStr">
        <is>
          <t>Book</t>
        </is>
      </c>
      <c r="G55" s="15" t="inlineStr">
        <is>
          <t>Priced by hand from the same rate sources</t>
        </is>
      </c>
      <c r="H55" s="15" t="inlineStr">
        <is>
          <t>Within 2% of correct answer</t>
        </is>
      </c>
      <c r="I55" s="16" t="n"/>
      <c r="J55" s="16" t="n"/>
      <c r="K55" s="16" t="n"/>
      <c r="L55" s="25">
        <f>IF(X55="","",X55)</f>
        <v/>
      </c>
      <c r="M55" s="18">
        <f>IF(O55&lt;&gt;"",O55,Y55)</f>
        <v/>
      </c>
      <c r="N55" s="16" t="n"/>
      <c r="O55" s="19" t="n"/>
      <c r="P55" s="19" t="n"/>
      <c r="Q55" s="19" t="n"/>
      <c r="R55" s="20" t="inlineStr">
        <is>
          <t>CPWD DSR + Bengaluru cost index</t>
        </is>
      </c>
      <c r="S55" s="20" t="inlineStr">
        <is>
          <t>Record edition</t>
        </is>
      </c>
      <c r="T55" s="20" t="inlineStr">
        <is>
          <t>±%</t>
        </is>
      </c>
      <c r="U55" s="20" t="n"/>
      <c r="V55" s="20" t="n">
        <v>2</v>
      </c>
      <c r="W55" s="20">
        <f>IF(AND(ISNUMBER(I55),ISNUMBER(J55)),I55-J55,"")</f>
        <v/>
      </c>
      <c r="X55" s="20">
        <f>IF(AND(ISNUMBER(I55),ISNUMBER(J55)),IF(J55=0,"",(I55-J55)/ABS(J55)),"")</f>
        <v/>
      </c>
      <c r="Y55" s="20">
        <f>IF(T55="Advisory","No pass mark",IF(T55="Manual","Claude will check",IF(I55="","Not done yet",IF(T55="Exact",IF(AND(ISNUMBER(I55),ISNUMBER(J55)),IF(ROUND(I55,2)=ROUND(J55,2),"Pass","Fail"),IF(TRIM(LOWER(I55&amp;""))=TRIM(LOWER(J55&amp;"")),"Pass","Fail")),IF(T55="Min",IF(I55&gt;=U55-1E-9,"Pass","Fail"),IF(T55="Between",IF(AND(I55&gt;=U55,I55&lt;=V55),"Pass","Fail"),IF(J55="","Not done yet",IF(T55="±%",IF(X55="","Check correct answer",IF(ABS(X55)*100&lt;=V55+1E-9,"Pass","Fail")),IF(T55="% range",IF(X55="","Check correct answer",IF(AND(X55*100&gt;=U55-1E-9,X55*100&lt;=V55+1E-9),"Pass","Fail")),IF(T55="±abs",IF(ABS(W55)&lt;=V55+1E-9,"Pass","Fail"),"Check type"))))))))))</f>
        <v/>
      </c>
    </row>
    <row r="56">
      <c r="A56" s="15" t="inlineStr">
        <is>
          <t>S4-049</t>
        </is>
      </c>
      <c r="B56" s="15" t="inlineStr">
        <is>
          <t>B</t>
        </is>
      </c>
      <c r="C56" s="15" t="inlineStr">
        <is>
          <t>Cost estimate</t>
        </is>
      </c>
      <c r="D56" s="15" t="inlineStr">
        <is>
          <t>BOQ item 13: rate × quantity</t>
        </is>
      </c>
      <c r="E56" s="15" t="inlineStr">
        <is>
          <t>₹</t>
        </is>
      </c>
      <c r="F56" s="15" t="inlineStr">
        <is>
          <t>Book</t>
        </is>
      </c>
      <c r="G56" s="15" t="inlineStr">
        <is>
          <t>Priced by hand from the same rate sources</t>
        </is>
      </c>
      <c r="H56" s="15" t="inlineStr">
        <is>
          <t>Within 2% of correct answer</t>
        </is>
      </c>
      <c r="I56" s="16" t="n"/>
      <c r="J56" s="16" t="n"/>
      <c r="K56" s="16" t="n"/>
      <c r="L56" s="25">
        <f>IF(X56="","",X56)</f>
        <v/>
      </c>
      <c r="M56" s="18">
        <f>IF(O56&lt;&gt;"",O56,Y56)</f>
        <v/>
      </c>
      <c r="N56" s="16" t="n"/>
      <c r="O56" s="19" t="n"/>
      <c r="P56" s="19" t="n"/>
      <c r="Q56" s="19" t="n"/>
      <c r="R56" s="20" t="inlineStr">
        <is>
          <t>CPWD DSR + Bengaluru cost index</t>
        </is>
      </c>
      <c r="S56" s="20" t="inlineStr">
        <is>
          <t>Record edition</t>
        </is>
      </c>
      <c r="T56" s="20" t="inlineStr">
        <is>
          <t>±%</t>
        </is>
      </c>
      <c r="U56" s="20" t="n"/>
      <c r="V56" s="20" t="n">
        <v>2</v>
      </c>
      <c r="W56" s="20">
        <f>IF(AND(ISNUMBER(I56),ISNUMBER(J56)),I56-J56,"")</f>
        <v/>
      </c>
      <c r="X56" s="20">
        <f>IF(AND(ISNUMBER(I56),ISNUMBER(J56)),IF(J56=0,"",(I56-J56)/ABS(J56)),"")</f>
        <v/>
      </c>
      <c r="Y56" s="20">
        <f>IF(T56="Advisory","No pass mark",IF(T56="Manual","Claude will check",IF(I56="","Not done yet",IF(T56="Exact",IF(AND(ISNUMBER(I56),ISNUMBER(J56)),IF(ROUND(I56,2)=ROUND(J56,2),"Pass","Fail"),IF(TRIM(LOWER(I56&amp;""))=TRIM(LOWER(J56&amp;"")),"Pass","Fail")),IF(T56="Min",IF(I56&gt;=U56-1E-9,"Pass","Fail"),IF(T56="Between",IF(AND(I56&gt;=U56,I56&lt;=V56),"Pass","Fail"),IF(J56="","Not done yet",IF(T56="±%",IF(X56="","Check correct answer",IF(ABS(X56)*100&lt;=V56+1E-9,"Pass","Fail")),IF(T56="% range",IF(X56="","Check correct answer",IF(AND(X56*100&gt;=U56-1E-9,X56*100&lt;=V56+1E-9),"Pass","Fail")),IF(T56="±abs",IF(ABS(W56)&lt;=V56+1E-9,"Pass","Fail"),"Check type"))))))))))</f>
        <v/>
      </c>
    </row>
    <row r="57">
      <c r="A57" s="15" t="inlineStr">
        <is>
          <t>S4-050</t>
        </is>
      </c>
      <c r="B57" s="15" t="inlineStr">
        <is>
          <t>B</t>
        </is>
      </c>
      <c r="C57" s="15" t="inlineStr">
        <is>
          <t>Cost estimate</t>
        </is>
      </c>
      <c r="D57" s="15" t="inlineStr">
        <is>
          <t>BOQ item 14: rate × quantity</t>
        </is>
      </c>
      <c r="E57" s="15" t="inlineStr">
        <is>
          <t>₹</t>
        </is>
      </c>
      <c r="F57" s="15" t="inlineStr">
        <is>
          <t>Book</t>
        </is>
      </c>
      <c r="G57" s="15" t="inlineStr">
        <is>
          <t>Priced by hand from the same rate sources</t>
        </is>
      </c>
      <c r="H57" s="15" t="inlineStr">
        <is>
          <t>Within 2% of correct answer</t>
        </is>
      </c>
      <c r="I57" s="16" t="n"/>
      <c r="J57" s="16" t="n"/>
      <c r="K57" s="16" t="n"/>
      <c r="L57" s="25">
        <f>IF(X57="","",X57)</f>
        <v/>
      </c>
      <c r="M57" s="18">
        <f>IF(O57&lt;&gt;"",O57,Y57)</f>
        <v/>
      </c>
      <c r="N57" s="16" t="n"/>
      <c r="O57" s="19" t="n"/>
      <c r="P57" s="19" t="n"/>
      <c r="Q57" s="19" t="n"/>
      <c r="R57" s="20" t="inlineStr">
        <is>
          <t>CPWD DSR + Bengaluru cost index</t>
        </is>
      </c>
      <c r="S57" s="20" t="inlineStr">
        <is>
          <t>Record edition</t>
        </is>
      </c>
      <c r="T57" s="20" t="inlineStr">
        <is>
          <t>±%</t>
        </is>
      </c>
      <c r="U57" s="20" t="n"/>
      <c r="V57" s="20" t="n">
        <v>2</v>
      </c>
      <c r="W57" s="20">
        <f>IF(AND(ISNUMBER(I57),ISNUMBER(J57)),I57-J57,"")</f>
        <v/>
      </c>
      <c r="X57" s="20">
        <f>IF(AND(ISNUMBER(I57),ISNUMBER(J57)),IF(J57=0,"",(I57-J57)/ABS(J57)),"")</f>
        <v/>
      </c>
      <c r="Y57" s="20">
        <f>IF(T57="Advisory","No pass mark",IF(T57="Manual","Claude will check",IF(I57="","Not done yet",IF(T57="Exact",IF(AND(ISNUMBER(I57),ISNUMBER(J57)),IF(ROUND(I57,2)=ROUND(J57,2),"Pass","Fail"),IF(TRIM(LOWER(I57&amp;""))=TRIM(LOWER(J57&amp;"")),"Pass","Fail")),IF(T57="Min",IF(I57&gt;=U57-1E-9,"Pass","Fail"),IF(T57="Between",IF(AND(I57&gt;=U57,I57&lt;=V57),"Pass","Fail"),IF(J57="","Not done yet",IF(T57="±%",IF(X57="","Check correct answer",IF(ABS(X57)*100&lt;=V57+1E-9,"Pass","Fail")),IF(T57="% range",IF(X57="","Check correct answer",IF(AND(X57*100&gt;=U57-1E-9,X57*100&lt;=V57+1E-9),"Pass","Fail")),IF(T57="±abs",IF(ABS(W57)&lt;=V57+1E-9,"Pass","Fail"),"Check type"))))))))))</f>
        <v/>
      </c>
    </row>
    <row r="58">
      <c r="A58" s="15" t="inlineStr">
        <is>
          <t>S4-051</t>
        </is>
      </c>
      <c r="B58" s="15" t="inlineStr">
        <is>
          <t>B</t>
        </is>
      </c>
      <c r="C58" s="15" t="inlineStr">
        <is>
          <t>Cost estimate</t>
        </is>
      </c>
      <c r="D58" s="15" t="inlineStr">
        <is>
          <t>BOQ item 15: rate × quantity</t>
        </is>
      </c>
      <c r="E58" s="15" t="inlineStr">
        <is>
          <t>₹</t>
        </is>
      </c>
      <c r="F58" s="15" t="inlineStr">
        <is>
          <t>Book</t>
        </is>
      </c>
      <c r="G58" s="15" t="inlineStr">
        <is>
          <t>Priced by hand from the same rate sources</t>
        </is>
      </c>
      <c r="H58" s="15" t="inlineStr">
        <is>
          <t>Within 2% of correct answer</t>
        </is>
      </c>
      <c r="I58" s="16" t="n"/>
      <c r="J58" s="16" t="n"/>
      <c r="K58" s="16" t="n"/>
      <c r="L58" s="25">
        <f>IF(X58="","",X58)</f>
        <v/>
      </c>
      <c r="M58" s="18">
        <f>IF(O58&lt;&gt;"",O58,Y58)</f>
        <v/>
      </c>
      <c r="N58" s="16" t="n"/>
      <c r="O58" s="19" t="n"/>
      <c r="P58" s="19" t="n"/>
      <c r="Q58" s="19" t="n"/>
      <c r="R58" s="20" t="inlineStr">
        <is>
          <t>CPWD DSR + Bengaluru cost index</t>
        </is>
      </c>
      <c r="S58" s="20" t="inlineStr">
        <is>
          <t>Record edition</t>
        </is>
      </c>
      <c r="T58" s="20" t="inlineStr">
        <is>
          <t>±%</t>
        </is>
      </c>
      <c r="U58" s="20" t="n"/>
      <c r="V58" s="20" t="n">
        <v>2</v>
      </c>
      <c r="W58" s="20">
        <f>IF(AND(ISNUMBER(I58),ISNUMBER(J58)),I58-J58,"")</f>
        <v/>
      </c>
      <c r="X58" s="20">
        <f>IF(AND(ISNUMBER(I58),ISNUMBER(J58)),IF(J58=0,"",(I58-J58)/ABS(J58)),"")</f>
        <v/>
      </c>
      <c r="Y58" s="20">
        <f>IF(T58="Advisory","No pass mark",IF(T58="Manual","Claude will check",IF(I58="","Not done yet",IF(T58="Exact",IF(AND(ISNUMBER(I58),ISNUMBER(J58)),IF(ROUND(I58,2)=ROUND(J58,2),"Pass","Fail"),IF(TRIM(LOWER(I58&amp;""))=TRIM(LOWER(J58&amp;"")),"Pass","Fail")),IF(T58="Min",IF(I58&gt;=U58-1E-9,"Pass","Fail"),IF(T58="Between",IF(AND(I58&gt;=U58,I58&lt;=V58),"Pass","Fail"),IF(J58="","Not done yet",IF(T58="±%",IF(X58="","Check correct answer",IF(ABS(X58)*100&lt;=V58+1E-9,"Pass","Fail")),IF(T58="% range",IF(X58="","Check correct answer",IF(AND(X58*100&gt;=U58-1E-9,X58*100&lt;=V58+1E-9),"Pass","Fail")),IF(T58="±abs",IF(ABS(W58)&lt;=V58+1E-9,"Pass","Fail"),"Check type"))))))))))</f>
        <v/>
      </c>
    </row>
    <row r="59">
      <c r="A59" s="15" t="inlineStr">
        <is>
          <t>S4-052</t>
        </is>
      </c>
      <c r="B59" s="15" t="inlineStr">
        <is>
          <t>B</t>
        </is>
      </c>
      <c r="C59" s="15" t="inlineStr">
        <is>
          <t>Cost estimate</t>
        </is>
      </c>
      <c r="D59" s="15" t="inlineStr">
        <is>
          <t>BOQ item 16: rate × quantity</t>
        </is>
      </c>
      <c r="E59" s="15" t="inlineStr">
        <is>
          <t>₹</t>
        </is>
      </c>
      <c r="F59" s="15" t="inlineStr">
        <is>
          <t>Book</t>
        </is>
      </c>
      <c r="G59" s="15" t="inlineStr">
        <is>
          <t>Priced by hand from the same rate sources</t>
        </is>
      </c>
      <c r="H59" s="15" t="inlineStr">
        <is>
          <t>Within 2% of correct answer</t>
        </is>
      </c>
      <c r="I59" s="16" t="n"/>
      <c r="J59" s="16" t="n"/>
      <c r="K59" s="16" t="n"/>
      <c r="L59" s="25">
        <f>IF(X59="","",X59)</f>
        <v/>
      </c>
      <c r="M59" s="18">
        <f>IF(O59&lt;&gt;"",O59,Y59)</f>
        <v/>
      </c>
      <c r="N59" s="16" t="n"/>
      <c r="O59" s="19" t="n"/>
      <c r="P59" s="19" t="n"/>
      <c r="Q59" s="19" t="n"/>
      <c r="R59" s="20" t="inlineStr">
        <is>
          <t>CPWD DSR + Bengaluru cost index</t>
        </is>
      </c>
      <c r="S59" s="20" t="inlineStr">
        <is>
          <t>Record edition</t>
        </is>
      </c>
      <c r="T59" s="20" t="inlineStr">
        <is>
          <t>±%</t>
        </is>
      </c>
      <c r="U59" s="20" t="n"/>
      <c r="V59" s="20" t="n">
        <v>2</v>
      </c>
      <c r="W59" s="20">
        <f>IF(AND(ISNUMBER(I59),ISNUMBER(J59)),I59-J59,"")</f>
        <v/>
      </c>
      <c r="X59" s="20">
        <f>IF(AND(ISNUMBER(I59),ISNUMBER(J59)),IF(J59=0,"",(I59-J59)/ABS(J59)),"")</f>
        <v/>
      </c>
      <c r="Y59" s="20">
        <f>IF(T59="Advisory","No pass mark",IF(T59="Manual","Claude will check",IF(I59="","Not done yet",IF(T59="Exact",IF(AND(ISNUMBER(I59),ISNUMBER(J59)),IF(ROUND(I59,2)=ROUND(J59,2),"Pass","Fail"),IF(TRIM(LOWER(I59&amp;""))=TRIM(LOWER(J59&amp;"")),"Pass","Fail")),IF(T59="Min",IF(I59&gt;=U59-1E-9,"Pass","Fail"),IF(T59="Between",IF(AND(I59&gt;=U59,I59&lt;=V59),"Pass","Fail"),IF(J59="","Not done yet",IF(T59="±%",IF(X59="","Check correct answer",IF(ABS(X59)*100&lt;=V59+1E-9,"Pass","Fail")),IF(T59="% range",IF(X59="","Check correct answer",IF(AND(X59*100&gt;=U59-1E-9,X59*100&lt;=V59+1E-9),"Pass","Fail")),IF(T59="±abs",IF(ABS(W59)&lt;=V59+1E-9,"Pass","Fail"),"Check type"))))))))))</f>
        <v/>
      </c>
    </row>
    <row r="60">
      <c r="A60" s="15" t="inlineStr">
        <is>
          <t>S4-053</t>
        </is>
      </c>
      <c r="B60" s="15" t="inlineStr">
        <is>
          <t>B</t>
        </is>
      </c>
      <c r="C60" s="15" t="inlineStr">
        <is>
          <t>Cost estimate</t>
        </is>
      </c>
      <c r="D60" s="15" t="inlineStr">
        <is>
          <t>BOQ item 17: rate × quantity</t>
        </is>
      </c>
      <c r="E60" s="15" t="inlineStr">
        <is>
          <t>₹</t>
        </is>
      </c>
      <c r="F60" s="15" t="inlineStr">
        <is>
          <t>Book</t>
        </is>
      </c>
      <c r="G60" s="15" t="inlineStr">
        <is>
          <t>Priced by hand from the same rate sources</t>
        </is>
      </c>
      <c r="H60" s="15" t="inlineStr">
        <is>
          <t>Within 2% of correct answer</t>
        </is>
      </c>
      <c r="I60" s="16" t="n"/>
      <c r="J60" s="16" t="n"/>
      <c r="K60" s="16" t="n"/>
      <c r="L60" s="25">
        <f>IF(X60="","",X60)</f>
        <v/>
      </c>
      <c r="M60" s="18">
        <f>IF(O60&lt;&gt;"",O60,Y60)</f>
        <v/>
      </c>
      <c r="N60" s="16" t="n"/>
      <c r="O60" s="19" t="n"/>
      <c r="P60" s="19" t="n"/>
      <c r="Q60" s="19" t="n"/>
      <c r="R60" s="20" t="inlineStr">
        <is>
          <t>CPWD DSR + Bengaluru cost index</t>
        </is>
      </c>
      <c r="S60" s="20" t="inlineStr">
        <is>
          <t>Record edition</t>
        </is>
      </c>
      <c r="T60" s="20" t="inlineStr">
        <is>
          <t>±%</t>
        </is>
      </c>
      <c r="U60" s="20" t="n"/>
      <c r="V60" s="20" t="n">
        <v>2</v>
      </c>
      <c r="W60" s="20">
        <f>IF(AND(ISNUMBER(I60),ISNUMBER(J60)),I60-J60,"")</f>
        <v/>
      </c>
      <c r="X60" s="20">
        <f>IF(AND(ISNUMBER(I60),ISNUMBER(J60)),IF(J60=0,"",(I60-J60)/ABS(J60)),"")</f>
        <v/>
      </c>
      <c r="Y60" s="20">
        <f>IF(T60="Advisory","No pass mark",IF(T60="Manual","Claude will check",IF(I60="","Not done yet",IF(T60="Exact",IF(AND(ISNUMBER(I60),ISNUMBER(J60)),IF(ROUND(I60,2)=ROUND(J60,2),"Pass","Fail"),IF(TRIM(LOWER(I60&amp;""))=TRIM(LOWER(J60&amp;"")),"Pass","Fail")),IF(T60="Min",IF(I60&gt;=U60-1E-9,"Pass","Fail"),IF(T60="Between",IF(AND(I60&gt;=U60,I60&lt;=V60),"Pass","Fail"),IF(J60="","Not done yet",IF(T60="±%",IF(X60="","Check correct answer",IF(ABS(X60)*100&lt;=V60+1E-9,"Pass","Fail")),IF(T60="% range",IF(X60="","Check correct answer",IF(AND(X60*100&gt;=U60-1E-9,X60*100&lt;=V60+1E-9),"Pass","Fail")),IF(T60="±abs",IF(ABS(W60)&lt;=V60+1E-9,"Pass","Fail"),"Check type"))))))))))</f>
        <v/>
      </c>
    </row>
    <row r="61">
      <c r="A61" s="15" t="inlineStr">
        <is>
          <t>S4-054</t>
        </is>
      </c>
      <c r="B61" s="15" t="inlineStr">
        <is>
          <t>B</t>
        </is>
      </c>
      <c r="C61" s="15" t="inlineStr">
        <is>
          <t>Cost estimate</t>
        </is>
      </c>
      <c r="D61" s="15" t="inlineStr">
        <is>
          <t>BOQ item 18: rate × quantity</t>
        </is>
      </c>
      <c r="E61" s="15" t="inlineStr">
        <is>
          <t>₹</t>
        </is>
      </c>
      <c r="F61" s="15" t="inlineStr">
        <is>
          <t>Book</t>
        </is>
      </c>
      <c r="G61" s="15" t="inlineStr">
        <is>
          <t>Priced by hand from the same rate sources</t>
        </is>
      </c>
      <c r="H61" s="15" t="inlineStr">
        <is>
          <t>Within 2% of correct answer</t>
        </is>
      </c>
      <c r="I61" s="16" t="n"/>
      <c r="J61" s="16" t="n"/>
      <c r="K61" s="16" t="n"/>
      <c r="L61" s="25">
        <f>IF(X61="","",X61)</f>
        <v/>
      </c>
      <c r="M61" s="18">
        <f>IF(O61&lt;&gt;"",O61,Y61)</f>
        <v/>
      </c>
      <c r="N61" s="16" t="n"/>
      <c r="O61" s="19" t="n"/>
      <c r="P61" s="19" t="n"/>
      <c r="Q61" s="19" t="n"/>
      <c r="R61" s="20" t="inlineStr">
        <is>
          <t>CPWD DSR + Bengaluru cost index</t>
        </is>
      </c>
      <c r="S61" s="20" t="inlineStr">
        <is>
          <t>Record edition</t>
        </is>
      </c>
      <c r="T61" s="20" t="inlineStr">
        <is>
          <t>±%</t>
        </is>
      </c>
      <c r="U61" s="20" t="n"/>
      <c r="V61" s="20" t="n">
        <v>2</v>
      </c>
      <c r="W61" s="20">
        <f>IF(AND(ISNUMBER(I61),ISNUMBER(J61)),I61-J61,"")</f>
        <v/>
      </c>
      <c r="X61" s="20">
        <f>IF(AND(ISNUMBER(I61),ISNUMBER(J61)),IF(J61=0,"",(I61-J61)/ABS(J61)),"")</f>
        <v/>
      </c>
      <c r="Y61" s="20">
        <f>IF(T61="Advisory","No pass mark",IF(T61="Manual","Claude will check",IF(I61="","Not done yet",IF(T61="Exact",IF(AND(ISNUMBER(I61),ISNUMBER(J61)),IF(ROUND(I61,2)=ROUND(J61,2),"Pass","Fail"),IF(TRIM(LOWER(I61&amp;""))=TRIM(LOWER(J61&amp;"")),"Pass","Fail")),IF(T61="Min",IF(I61&gt;=U61-1E-9,"Pass","Fail"),IF(T61="Between",IF(AND(I61&gt;=U61,I61&lt;=V61),"Pass","Fail"),IF(J61="","Not done yet",IF(T61="±%",IF(X61="","Check correct answer",IF(ABS(X61)*100&lt;=V61+1E-9,"Pass","Fail")),IF(T61="% range",IF(X61="","Check correct answer",IF(AND(X61*100&gt;=U61-1E-9,X61*100&lt;=V61+1E-9),"Pass","Fail")),IF(T61="±abs",IF(ABS(W61)&lt;=V61+1E-9,"Pass","Fail"),"Check type"))))))))))</f>
        <v/>
      </c>
    </row>
    <row r="62">
      <c r="A62" s="15" t="inlineStr">
        <is>
          <t>S4-055</t>
        </is>
      </c>
      <c r="B62" s="15" t="inlineStr">
        <is>
          <t>B</t>
        </is>
      </c>
      <c r="C62" s="15" t="inlineStr">
        <is>
          <t>Cost estimate</t>
        </is>
      </c>
      <c r="D62" s="15" t="inlineStr">
        <is>
          <t>BOQ item 19: rate × quantity</t>
        </is>
      </c>
      <c r="E62" s="15" t="inlineStr">
        <is>
          <t>₹</t>
        </is>
      </c>
      <c r="F62" s="15" t="inlineStr">
        <is>
          <t>Book</t>
        </is>
      </c>
      <c r="G62" s="15" t="inlineStr">
        <is>
          <t>Priced by hand from the same rate sources</t>
        </is>
      </c>
      <c r="H62" s="15" t="inlineStr">
        <is>
          <t>Within 2% of correct answer</t>
        </is>
      </c>
      <c r="I62" s="16" t="n"/>
      <c r="J62" s="16" t="n"/>
      <c r="K62" s="16" t="n"/>
      <c r="L62" s="25">
        <f>IF(X62="","",X62)</f>
        <v/>
      </c>
      <c r="M62" s="18">
        <f>IF(O62&lt;&gt;"",O62,Y62)</f>
        <v/>
      </c>
      <c r="N62" s="16" t="n"/>
      <c r="O62" s="19" t="n"/>
      <c r="P62" s="19" t="n"/>
      <c r="Q62" s="19" t="n"/>
      <c r="R62" s="20" t="inlineStr">
        <is>
          <t>CPWD DSR + Bengaluru cost index</t>
        </is>
      </c>
      <c r="S62" s="20" t="inlineStr">
        <is>
          <t>Record edition</t>
        </is>
      </c>
      <c r="T62" s="20" t="inlineStr">
        <is>
          <t>±%</t>
        </is>
      </c>
      <c r="U62" s="20" t="n"/>
      <c r="V62" s="20" t="n">
        <v>2</v>
      </c>
      <c r="W62" s="20">
        <f>IF(AND(ISNUMBER(I62),ISNUMBER(J62)),I62-J62,"")</f>
        <v/>
      </c>
      <c r="X62" s="20">
        <f>IF(AND(ISNUMBER(I62),ISNUMBER(J62)),IF(J62=0,"",(I62-J62)/ABS(J62)),"")</f>
        <v/>
      </c>
      <c r="Y62" s="20">
        <f>IF(T62="Advisory","No pass mark",IF(T62="Manual","Claude will check",IF(I62="","Not done yet",IF(T62="Exact",IF(AND(ISNUMBER(I62),ISNUMBER(J62)),IF(ROUND(I62,2)=ROUND(J62,2),"Pass","Fail"),IF(TRIM(LOWER(I62&amp;""))=TRIM(LOWER(J62&amp;"")),"Pass","Fail")),IF(T62="Min",IF(I62&gt;=U62-1E-9,"Pass","Fail"),IF(T62="Between",IF(AND(I62&gt;=U62,I62&lt;=V62),"Pass","Fail"),IF(J62="","Not done yet",IF(T62="±%",IF(X62="","Check correct answer",IF(ABS(X62)*100&lt;=V62+1E-9,"Pass","Fail")),IF(T62="% range",IF(X62="","Check correct answer",IF(AND(X62*100&gt;=U62-1E-9,X62*100&lt;=V62+1E-9),"Pass","Fail")),IF(T62="±abs",IF(ABS(W62)&lt;=V62+1E-9,"Pass","Fail"),"Check type"))))))))))</f>
        <v/>
      </c>
    </row>
    <row r="63">
      <c r="A63" s="15" t="inlineStr">
        <is>
          <t>S4-056</t>
        </is>
      </c>
      <c r="B63" s="15" t="inlineStr">
        <is>
          <t>B</t>
        </is>
      </c>
      <c r="C63" s="15" t="inlineStr">
        <is>
          <t>Cost estimate</t>
        </is>
      </c>
      <c r="D63" s="15" t="inlineStr">
        <is>
          <t>BOQ item 20: rate × quantity</t>
        </is>
      </c>
      <c r="E63" s="15" t="inlineStr">
        <is>
          <t>₹</t>
        </is>
      </c>
      <c r="F63" s="15" t="inlineStr">
        <is>
          <t>Book</t>
        </is>
      </c>
      <c r="G63" s="15" t="inlineStr">
        <is>
          <t>Priced by hand from the same rate sources</t>
        </is>
      </c>
      <c r="H63" s="15" t="inlineStr">
        <is>
          <t>Within 2% of correct answer</t>
        </is>
      </c>
      <c r="I63" s="16" t="n"/>
      <c r="J63" s="16" t="n"/>
      <c r="K63" s="16" t="n"/>
      <c r="L63" s="25">
        <f>IF(X63="","",X63)</f>
        <v/>
      </c>
      <c r="M63" s="18">
        <f>IF(O63&lt;&gt;"",O63,Y63)</f>
        <v/>
      </c>
      <c r="N63" s="16" t="n"/>
      <c r="O63" s="19" t="n"/>
      <c r="P63" s="19" t="n"/>
      <c r="Q63" s="19" t="n"/>
      <c r="R63" s="20" t="inlineStr">
        <is>
          <t>CPWD DSR + Bengaluru cost index</t>
        </is>
      </c>
      <c r="S63" s="20" t="inlineStr">
        <is>
          <t>Record edition</t>
        </is>
      </c>
      <c r="T63" s="20" t="inlineStr">
        <is>
          <t>±%</t>
        </is>
      </c>
      <c r="U63" s="20" t="n"/>
      <c r="V63" s="20" t="n">
        <v>2</v>
      </c>
      <c r="W63" s="20">
        <f>IF(AND(ISNUMBER(I63),ISNUMBER(J63)),I63-J63,"")</f>
        <v/>
      </c>
      <c r="X63" s="20">
        <f>IF(AND(ISNUMBER(I63),ISNUMBER(J63)),IF(J63=0,"",(I63-J63)/ABS(J63)),"")</f>
        <v/>
      </c>
      <c r="Y63" s="20">
        <f>IF(T63="Advisory","No pass mark",IF(T63="Manual","Claude will check",IF(I63="","Not done yet",IF(T63="Exact",IF(AND(ISNUMBER(I63),ISNUMBER(J63)),IF(ROUND(I63,2)=ROUND(J63,2),"Pass","Fail"),IF(TRIM(LOWER(I63&amp;""))=TRIM(LOWER(J63&amp;"")),"Pass","Fail")),IF(T63="Min",IF(I63&gt;=U63-1E-9,"Pass","Fail"),IF(T63="Between",IF(AND(I63&gt;=U63,I63&lt;=V63),"Pass","Fail"),IF(J63="","Not done yet",IF(T63="±%",IF(X63="","Check correct answer",IF(ABS(X63)*100&lt;=V63+1E-9,"Pass","Fail")),IF(T63="% range",IF(X63="","Check correct answer",IF(AND(X63*100&gt;=U63-1E-9,X63*100&lt;=V63+1E-9),"Pass","Fail")),IF(T63="±abs",IF(ABS(W63)&lt;=V63+1E-9,"Pass","Fail"),"Check type"))))))))))</f>
        <v/>
      </c>
    </row>
    <row r="64">
      <c r="A64" s="15" t="inlineStr">
        <is>
          <t>S4-057</t>
        </is>
      </c>
      <c r="B64" s="15" t="inlineStr">
        <is>
          <t>B</t>
        </is>
      </c>
      <c r="C64" s="15" t="inlineStr">
        <is>
          <t>Cost estimate</t>
        </is>
      </c>
      <c r="D64" s="15" t="inlineStr">
        <is>
          <t>Layer 1: one tower, same quantities priced by hand</t>
        </is>
      </c>
      <c r="E64" s="15" t="inlineStr">
        <is>
          <t>₹</t>
        </is>
      </c>
      <c r="F64" s="15" t="inlineStr">
        <is>
          <t>Real</t>
        </is>
      </c>
      <c r="G64" s="15" t="inlineStr">
        <is>
          <t>Hand pricing</t>
        </is>
      </c>
      <c r="H64" s="15" t="inlineStr">
        <is>
          <t>Within 2% of correct answer</t>
        </is>
      </c>
      <c r="I64" s="16" t="n"/>
      <c r="J64" s="16" t="n"/>
      <c r="K64" s="16" t="n"/>
      <c r="L64" s="25">
        <f>IF(X64="","",X64)</f>
        <v/>
      </c>
      <c r="M64" s="18">
        <f>IF(O64&lt;&gt;"",O64,Y64)</f>
        <v/>
      </c>
      <c r="N64" s="16" t="n"/>
      <c r="O64" s="19" t="n"/>
      <c r="P64" s="19" t="n"/>
      <c r="Q64" s="19" t="n"/>
      <c r="R64" s="20" t="inlineStr">
        <is>
          <t>CPWD DSR + Bengaluru cost index</t>
        </is>
      </c>
      <c r="S64" s="20" t="inlineStr">
        <is>
          <t>Record edition</t>
        </is>
      </c>
      <c r="T64" s="20" t="inlineStr">
        <is>
          <t>±%</t>
        </is>
      </c>
      <c r="U64" s="20" t="n"/>
      <c r="V64" s="20" t="n">
        <v>2</v>
      </c>
      <c r="W64" s="20">
        <f>IF(AND(ISNUMBER(I64),ISNUMBER(J64)),I64-J64,"")</f>
        <v/>
      </c>
      <c r="X64" s="20">
        <f>IF(AND(ISNUMBER(I64),ISNUMBER(J64)),IF(J64=0,"",(I64-J64)/ABS(J64)),"")</f>
        <v/>
      </c>
      <c r="Y64" s="20">
        <f>IF(T64="Advisory","No pass mark",IF(T64="Manual","Claude will check",IF(I64="","Not done yet",IF(T64="Exact",IF(AND(ISNUMBER(I64),ISNUMBER(J64)),IF(ROUND(I64,2)=ROUND(J64,2),"Pass","Fail"),IF(TRIM(LOWER(I64&amp;""))=TRIM(LOWER(J64&amp;"")),"Pass","Fail")),IF(T64="Min",IF(I64&gt;=U64-1E-9,"Pass","Fail"),IF(T64="Between",IF(AND(I64&gt;=U64,I64&lt;=V64),"Pass","Fail"),IF(J64="","Not done yet",IF(T64="±%",IF(X64="","Check correct answer",IF(ABS(X64)*100&lt;=V64+1E-9,"Pass","Fail")),IF(T64="% range",IF(X64="","Check correct answer",IF(AND(X64*100&gt;=U64-1E-9,X64*100&lt;=V64+1E-9),"Pass","Fail")),IF(T64="±abs",IF(ABS(W64)&lt;=V64+1E-9,"Pass","Fail"),"Check type"))))))))))</f>
        <v/>
      </c>
    </row>
    <row r="65">
      <c r="A65" s="15" t="inlineStr">
        <is>
          <t>S4-058</t>
        </is>
      </c>
      <c r="B65" s="15" t="inlineStr">
        <is>
          <t>B</t>
        </is>
      </c>
      <c r="C65" s="15" t="inlineStr">
        <is>
          <t>Cost estimate</t>
        </is>
      </c>
      <c r="D65" s="15" t="inlineStr">
        <is>
          <t>Layer 2: one tower vs plinth area rates</t>
        </is>
      </c>
      <c r="E65" s="15" t="inlineStr">
        <is>
          <t>₹</t>
        </is>
      </c>
      <c r="F65" s="15" t="inlineStr">
        <is>
          <t>Real</t>
        </is>
      </c>
      <c r="G65" s="15" t="inlineStr">
        <is>
          <t>Plinth area rate × area, Bengaluru index</t>
        </is>
      </c>
      <c r="H65" s="15" t="inlineStr">
        <is>
          <t>Within 15% of correct answer (our own choice)</t>
        </is>
      </c>
      <c r="I65" s="16" t="n"/>
      <c r="J65" s="16" t="n"/>
      <c r="K65" s="16" t="n"/>
      <c r="L65" s="25">
        <f>IF(X65="","",X65)</f>
        <v/>
      </c>
      <c r="M65" s="18">
        <f>IF(O65&lt;&gt;"",O65,Y65)</f>
        <v/>
      </c>
      <c r="N65" s="16" t="n"/>
      <c r="O65" s="19" t="n"/>
      <c r="P65" s="19" t="n"/>
      <c r="Q65" s="19" t="n"/>
      <c r="R65" s="20" t="inlineStr">
        <is>
          <t>CPWD Plinth Area Rates 2025</t>
        </is>
      </c>
      <c r="S65" s="20" t="inlineStr">
        <is>
          <t>PAR 2025</t>
        </is>
      </c>
      <c r="T65" s="20" t="inlineStr">
        <is>
          <t>±%</t>
        </is>
      </c>
      <c r="U65" s="20" t="n"/>
      <c r="V65" s="20" t="n">
        <v>15</v>
      </c>
      <c r="W65" s="20">
        <f>IF(AND(ISNUMBER(I65),ISNUMBER(J65)),I65-J65,"")</f>
        <v/>
      </c>
      <c r="X65" s="20">
        <f>IF(AND(ISNUMBER(I65),ISNUMBER(J65)),IF(J65=0,"",(I65-J65)/ABS(J65)),"")</f>
        <v/>
      </c>
      <c r="Y65" s="20">
        <f>IF(T65="Advisory","No pass mark",IF(T65="Manual","Claude will check",IF(I65="","Not done yet",IF(T65="Exact",IF(AND(ISNUMBER(I65),ISNUMBER(J65)),IF(ROUND(I65,2)=ROUND(J65,2),"Pass","Fail"),IF(TRIM(LOWER(I65&amp;""))=TRIM(LOWER(J65&amp;"")),"Pass","Fail")),IF(T65="Min",IF(I65&gt;=U65-1E-9,"Pass","Fail"),IF(T65="Between",IF(AND(I65&gt;=U65,I65&lt;=V65),"Pass","Fail"),IF(J65="","Not done yet",IF(T65="±%",IF(X65="","Check correct answer",IF(ABS(X65)*100&lt;=V65+1E-9,"Pass","Fail")),IF(T65="% range",IF(X65="","Check correct answer",IF(AND(X65*100&gt;=U65-1E-9,X65*100&lt;=V65+1E-9),"Pass","Fail")),IF(T65="±abs",IF(ABS(W65)&lt;=V65+1E-9,"Pass","Fail"),"Check type"))))))))))</f>
        <v/>
      </c>
    </row>
    <row r="66">
      <c r="A66" s="15" t="inlineStr">
        <is>
          <t>S4-059</t>
        </is>
      </c>
      <c r="B66" s="15" t="inlineStr">
        <is>
          <t>B</t>
        </is>
      </c>
      <c r="C66" s="15" t="inlineStr">
        <is>
          <t>Cost estimate</t>
        </is>
      </c>
      <c r="D66" s="15" t="inlineStr">
        <is>
          <t>Layer 3: RERA project P1 total cost</t>
        </is>
      </c>
      <c r="E66" s="15" t="inlineStr">
        <is>
          <t>₹</t>
        </is>
      </c>
      <c r="F66" s="15" t="inlineStr">
        <is>
          <t>Real</t>
        </is>
      </c>
      <c r="G66" s="15" t="inlineStr">
        <is>
          <t>Project cost declared on RERA</t>
        </is>
      </c>
      <c r="H66" s="15" t="inlineStr">
        <is>
          <t>From 20% below to 30% above correct answer</t>
        </is>
      </c>
      <c r="I66" s="16" t="n"/>
      <c r="J66" s="16" t="n"/>
      <c r="K66" s="16" t="n"/>
      <c r="L66" s="25">
        <f>IF(X66="","",X66)</f>
        <v/>
      </c>
      <c r="M66" s="18">
        <f>IF(O66&lt;&gt;"",O66,Y66)</f>
        <v/>
      </c>
      <c r="N66" s="16" t="n"/>
      <c r="O66" s="19" t="n"/>
      <c r="P66" s="19" t="n"/>
      <c r="Q66" s="19" t="n"/>
      <c r="R66" s="20" t="inlineStr">
        <is>
          <t>AACE 18R-97 Class 3</t>
        </is>
      </c>
      <c r="S66" s="20" t="inlineStr">
        <is>
          <t>n/a</t>
        </is>
      </c>
      <c r="T66" s="20" t="inlineStr">
        <is>
          <t>% range</t>
        </is>
      </c>
      <c r="U66" s="20" t="n">
        <v>-20</v>
      </c>
      <c r="V66" s="20" t="n">
        <v>30</v>
      </c>
      <c r="W66" s="20">
        <f>IF(AND(ISNUMBER(I66),ISNUMBER(J66)),I66-J66,"")</f>
        <v/>
      </c>
      <c r="X66" s="20">
        <f>IF(AND(ISNUMBER(I66),ISNUMBER(J66)),IF(J66=0,"",(I66-J66)/ABS(J66)),"")</f>
        <v/>
      </c>
      <c r="Y66" s="20">
        <f>IF(T66="Advisory","No pass mark",IF(T66="Manual","Claude will check",IF(I66="","Not done yet",IF(T66="Exact",IF(AND(ISNUMBER(I66),ISNUMBER(J66)),IF(ROUND(I66,2)=ROUND(J66,2),"Pass","Fail"),IF(TRIM(LOWER(I66&amp;""))=TRIM(LOWER(J66&amp;"")),"Pass","Fail")),IF(T66="Min",IF(I66&gt;=U66-1E-9,"Pass","Fail"),IF(T66="Between",IF(AND(I66&gt;=U66,I66&lt;=V66),"Pass","Fail"),IF(J66="","Not done yet",IF(T66="±%",IF(X66="","Check correct answer",IF(ABS(X66)*100&lt;=V66+1E-9,"Pass","Fail")),IF(T66="% range",IF(X66="","Check correct answer",IF(AND(X66*100&gt;=U66-1E-9,X66*100&lt;=V66+1E-9),"Pass","Fail")),IF(T66="±abs",IF(ABS(W66)&lt;=V66+1E-9,"Pass","Fail"),"Check type"))))))))))</f>
        <v/>
      </c>
    </row>
    <row r="67">
      <c r="A67" s="15" t="inlineStr">
        <is>
          <t>S4-060</t>
        </is>
      </c>
      <c r="B67" s="15" t="inlineStr">
        <is>
          <t>B</t>
        </is>
      </c>
      <c r="C67" s="15" t="inlineStr">
        <is>
          <t>Cost estimate</t>
        </is>
      </c>
      <c r="D67" s="15" t="inlineStr">
        <is>
          <t>Layer 3: RERA project P2 total cost</t>
        </is>
      </c>
      <c r="E67" s="15" t="inlineStr">
        <is>
          <t>₹</t>
        </is>
      </c>
      <c r="F67" s="15" t="inlineStr">
        <is>
          <t>Real</t>
        </is>
      </c>
      <c r="G67" s="15" t="inlineStr">
        <is>
          <t>Project cost declared on RERA</t>
        </is>
      </c>
      <c r="H67" s="15" t="inlineStr">
        <is>
          <t>From 20% below to 30% above correct answer</t>
        </is>
      </c>
      <c r="I67" s="16" t="n"/>
      <c r="J67" s="16" t="n"/>
      <c r="K67" s="16" t="n"/>
      <c r="L67" s="25">
        <f>IF(X67="","",X67)</f>
        <v/>
      </c>
      <c r="M67" s="18">
        <f>IF(O67&lt;&gt;"",O67,Y67)</f>
        <v/>
      </c>
      <c r="N67" s="16" t="n"/>
      <c r="O67" s="19" t="n"/>
      <c r="P67" s="19" t="n"/>
      <c r="Q67" s="19" t="n"/>
      <c r="R67" s="20" t="inlineStr">
        <is>
          <t>AACE 18R-97 Class 3</t>
        </is>
      </c>
      <c r="S67" s="20" t="inlineStr">
        <is>
          <t>n/a</t>
        </is>
      </c>
      <c r="T67" s="20" t="inlineStr">
        <is>
          <t>% range</t>
        </is>
      </c>
      <c r="U67" s="20" t="n">
        <v>-20</v>
      </c>
      <c r="V67" s="20" t="n">
        <v>30</v>
      </c>
      <c r="W67" s="20">
        <f>IF(AND(ISNUMBER(I67),ISNUMBER(J67)),I67-J67,"")</f>
        <v/>
      </c>
      <c r="X67" s="20">
        <f>IF(AND(ISNUMBER(I67),ISNUMBER(J67)),IF(J67=0,"",(I67-J67)/ABS(J67)),"")</f>
        <v/>
      </c>
      <c r="Y67" s="20">
        <f>IF(T67="Advisory","No pass mark",IF(T67="Manual","Claude will check",IF(I67="","Not done yet",IF(T67="Exact",IF(AND(ISNUMBER(I67),ISNUMBER(J67)),IF(ROUND(I67,2)=ROUND(J67,2),"Pass","Fail"),IF(TRIM(LOWER(I67&amp;""))=TRIM(LOWER(J67&amp;"")),"Pass","Fail")),IF(T67="Min",IF(I67&gt;=U67-1E-9,"Pass","Fail"),IF(T67="Between",IF(AND(I67&gt;=U67,I67&lt;=V67),"Pass","Fail"),IF(J67="","Not done yet",IF(T67="±%",IF(X67="","Check correct answer",IF(ABS(X67)*100&lt;=V67+1E-9,"Pass","Fail")),IF(T67="% range",IF(X67="","Check correct answer",IF(AND(X67*100&gt;=U67-1E-9,X67*100&lt;=V67+1E-9),"Pass","Fail")),IF(T67="±abs",IF(ABS(W67)&lt;=V67+1E-9,"Pass","Fail"),"Check type"))))))))))</f>
        <v/>
      </c>
    </row>
    <row r="68">
      <c r="A68" s="15" t="inlineStr">
        <is>
          <t>S4-061</t>
        </is>
      </c>
      <c r="B68" s="15" t="inlineStr">
        <is>
          <t>B</t>
        </is>
      </c>
      <c r="C68" s="15" t="inlineStr">
        <is>
          <t>Cost estimate</t>
        </is>
      </c>
      <c r="D68" s="15" t="inlineStr">
        <is>
          <t>Layer 3: RERA project P3 total cost</t>
        </is>
      </c>
      <c r="E68" s="15" t="inlineStr">
        <is>
          <t>₹</t>
        </is>
      </c>
      <c r="F68" s="15" t="inlineStr">
        <is>
          <t>Real</t>
        </is>
      </c>
      <c r="G68" s="15" t="inlineStr">
        <is>
          <t>Project cost declared on RERA</t>
        </is>
      </c>
      <c r="H68" s="15" t="inlineStr">
        <is>
          <t>From 20% below to 30% above correct answer</t>
        </is>
      </c>
      <c r="I68" s="16" t="n"/>
      <c r="J68" s="16" t="n"/>
      <c r="K68" s="16" t="n"/>
      <c r="L68" s="25">
        <f>IF(X68="","",X68)</f>
        <v/>
      </c>
      <c r="M68" s="18">
        <f>IF(O68&lt;&gt;"",O68,Y68)</f>
        <v/>
      </c>
      <c r="N68" s="16" t="n"/>
      <c r="O68" s="19" t="n"/>
      <c r="P68" s="19" t="n"/>
      <c r="Q68" s="19" t="n"/>
      <c r="R68" s="20" t="inlineStr">
        <is>
          <t>AACE 18R-97 Class 3</t>
        </is>
      </c>
      <c r="S68" s="20" t="inlineStr">
        <is>
          <t>n/a</t>
        </is>
      </c>
      <c r="T68" s="20" t="inlineStr">
        <is>
          <t>% range</t>
        </is>
      </c>
      <c r="U68" s="20" t="n">
        <v>-20</v>
      </c>
      <c r="V68" s="20" t="n">
        <v>30</v>
      </c>
      <c r="W68" s="20">
        <f>IF(AND(ISNUMBER(I68),ISNUMBER(J68)),I68-J68,"")</f>
        <v/>
      </c>
      <c r="X68" s="20">
        <f>IF(AND(ISNUMBER(I68),ISNUMBER(J68)),IF(J68=0,"",(I68-J68)/ABS(J68)),"")</f>
        <v/>
      </c>
      <c r="Y68" s="20">
        <f>IF(T68="Advisory","No pass mark",IF(T68="Manual","Claude will check",IF(I68="","Not done yet",IF(T68="Exact",IF(AND(ISNUMBER(I68),ISNUMBER(J68)),IF(ROUND(I68,2)=ROUND(J68,2),"Pass","Fail"),IF(TRIM(LOWER(I68&amp;""))=TRIM(LOWER(J68&amp;"")),"Pass","Fail")),IF(T68="Min",IF(I68&gt;=U68-1E-9,"Pass","Fail"),IF(T68="Between",IF(AND(I68&gt;=U68,I68&lt;=V68),"Pass","Fail"),IF(J68="","Not done yet",IF(T68="±%",IF(X68="","Check correct answer",IF(ABS(X68)*100&lt;=V68+1E-9,"Pass","Fail")),IF(T68="% range",IF(X68="","Check correct answer",IF(AND(X68*100&gt;=U68-1E-9,X68*100&lt;=V68+1E-9),"Pass","Fail")),IF(T68="±abs",IF(ABS(W68)&lt;=V68+1E-9,"Pass","Fail"),"Check type"))))))))))</f>
        <v/>
      </c>
    </row>
    <row r="69">
      <c r="A69" s="15" t="inlineStr">
        <is>
          <t>S4-062</t>
        </is>
      </c>
      <c r="B69" s="15" t="inlineStr">
        <is>
          <t>B</t>
        </is>
      </c>
      <c r="C69" s="15" t="inlineStr">
        <is>
          <t>Cost estimate</t>
        </is>
      </c>
      <c r="D69" s="15" t="inlineStr">
        <is>
          <t>Layer 3: RERA project P4 total cost</t>
        </is>
      </c>
      <c r="E69" s="15" t="inlineStr">
        <is>
          <t>₹</t>
        </is>
      </c>
      <c r="F69" s="15" t="inlineStr">
        <is>
          <t>Real</t>
        </is>
      </c>
      <c r="G69" s="15" t="inlineStr">
        <is>
          <t>Project cost declared on RERA</t>
        </is>
      </c>
      <c r="H69" s="15" t="inlineStr">
        <is>
          <t>From 20% below to 30% above correct answer</t>
        </is>
      </c>
      <c r="I69" s="16" t="n"/>
      <c r="J69" s="16" t="n"/>
      <c r="K69" s="16" t="n"/>
      <c r="L69" s="25">
        <f>IF(X69="","",X69)</f>
        <v/>
      </c>
      <c r="M69" s="18">
        <f>IF(O69&lt;&gt;"",O69,Y69)</f>
        <v/>
      </c>
      <c r="N69" s="16" t="n"/>
      <c r="O69" s="19" t="n"/>
      <c r="P69" s="19" t="n"/>
      <c r="Q69" s="19" t="n"/>
      <c r="R69" s="20" t="inlineStr">
        <is>
          <t>AACE 18R-97 Class 3</t>
        </is>
      </c>
      <c r="S69" s="20" t="inlineStr">
        <is>
          <t>n/a</t>
        </is>
      </c>
      <c r="T69" s="20" t="inlineStr">
        <is>
          <t>% range</t>
        </is>
      </c>
      <c r="U69" s="20" t="n">
        <v>-20</v>
      </c>
      <c r="V69" s="20" t="n">
        <v>30</v>
      </c>
      <c r="W69" s="20">
        <f>IF(AND(ISNUMBER(I69),ISNUMBER(J69)),I69-J69,"")</f>
        <v/>
      </c>
      <c r="X69" s="20">
        <f>IF(AND(ISNUMBER(I69),ISNUMBER(J69)),IF(J69=0,"",(I69-J69)/ABS(J69)),"")</f>
        <v/>
      </c>
      <c r="Y69" s="20">
        <f>IF(T69="Advisory","No pass mark",IF(T69="Manual","Claude will check",IF(I69="","Not done yet",IF(T69="Exact",IF(AND(ISNUMBER(I69),ISNUMBER(J69)),IF(ROUND(I69,2)=ROUND(J69,2),"Pass","Fail"),IF(TRIM(LOWER(I69&amp;""))=TRIM(LOWER(J69&amp;"")),"Pass","Fail")),IF(T69="Min",IF(I69&gt;=U69-1E-9,"Pass","Fail"),IF(T69="Between",IF(AND(I69&gt;=U69,I69&lt;=V69),"Pass","Fail"),IF(J69="","Not done yet",IF(T69="±%",IF(X69="","Check correct answer",IF(ABS(X69)*100&lt;=V69+1E-9,"Pass","Fail")),IF(T69="% range",IF(X69="","Check correct answer",IF(AND(X69*100&gt;=U69-1E-9,X69*100&lt;=V69+1E-9),"Pass","Fail")),IF(T69="±abs",IF(ABS(W69)&lt;=V69+1E-9,"Pass","Fail"),"Check type"))))))))))</f>
        <v/>
      </c>
    </row>
    <row r="70">
      <c r="A70" s="15" t="inlineStr">
        <is>
          <t>S4-063</t>
        </is>
      </c>
      <c r="B70" s="15" t="inlineStr">
        <is>
          <t>B</t>
        </is>
      </c>
      <c r="C70" s="15" t="inlineStr">
        <is>
          <t>Cost estimate</t>
        </is>
      </c>
      <c r="D70" s="15" t="inlineStr">
        <is>
          <t>Layer 3: RERA project P5 total cost</t>
        </is>
      </c>
      <c r="E70" s="15" t="inlineStr">
        <is>
          <t>₹</t>
        </is>
      </c>
      <c r="F70" s="15" t="inlineStr">
        <is>
          <t>Real</t>
        </is>
      </c>
      <c r="G70" s="15" t="inlineStr">
        <is>
          <t>Project cost declared on RERA</t>
        </is>
      </c>
      <c r="H70" s="15" t="inlineStr">
        <is>
          <t>From 20% below to 30% above correct answer</t>
        </is>
      </c>
      <c r="I70" s="16" t="n"/>
      <c r="J70" s="16" t="n"/>
      <c r="K70" s="16" t="n"/>
      <c r="L70" s="25">
        <f>IF(X70="","",X70)</f>
        <v/>
      </c>
      <c r="M70" s="18">
        <f>IF(O70&lt;&gt;"",O70,Y70)</f>
        <v/>
      </c>
      <c r="N70" s="16" t="n"/>
      <c r="O70" s="19" t="n"/>
      <c r="P70" s="19" t="n"/>
      <c r="Q70" s="19" t="n"/>
      <c r="R70" s="20" t="inlineStr">
        <is>
          <t>AACE 18R-97 Class 3</t>
        </is>
      </c>
      <c r="S70" s="20" t="inlineStr">
        <is>
          <t>n/a</t>
        </is>
      </c>
      <c r="T70" s="20" t="inlineStr">
        <is>
          <t>% range</t>
        </is>
      </c>
      <c r="U70" s="20" t="n">
        <v>-20</v>
      </c>
      <c r="V70" s="20" t="n">
        <v>30</v>
      </c>
      <c r="W70" s="20">
        <f>IF(AND(ISNUMBER(I70),ISNUMBER(J70)),I70-J70,"")</f>
        <v/>
      </c>
      <c r="X70" s="20">
        <f>IF(AND(ISNUMBER(I70),ISNUMBER(J70)),IF(J70=0,"",(I70-J70)/ABS(J70)),"")</f>
        <v/>
      </c>
      <c r="Y70" s="20">
        <f>IF(T70="Advisory","No pass mark",IF(T70="Manual","Claude will check",IF(I70="","Not done yet",IF(T70="Exact",IF(AND(ISNUMBER(I70),ISNUMBER(J70)),IF(ROUND(I70,2)=ROUND(J70,2),"Pass","Fail"),IF(TRIM(LOWER(I70&amp;""))=TRIM(LOWER(J70&amp;"")),"Pass","Fail")),IF(T70="Min",IF(I70&gt;=U70-1E-9,"Pass","Fail"),IF(T70="Between",IF(AND(I70&gt;=U70,I70&lt;=V70),"Pass","Fail"),IF(J70="","Not done yet",IF(T70="±%",IF(X70="","Check correct answer",IF(ABS(X70)*100&lt;=V70+1E-9,"Pass","Fail")),IF(T70="% range",IF(X70="","Check correct answer",IF(AND(X70*100&gt;=U70-1E-9,X70*100&lt;=V70+1E-9),"Pass","Fail")),IF(T70="±abs",IF(ABS(W70)&lt;=V70+1E-9,"Pass","Fail"),"Check type"))))))))))</f>
        <v/>
      </c>
    </row>
    <row r="71">
      <c r="A71" s="15" t="inlineStr">
        <is>
          <t>S4-064</t>
        </is>
      </c>
      <c r="B71" s="15" t="inlineStr">
        <is>
          <t>B</t>
        </is>
      </c>
      <c r="C71" s="15" t="inlineStr">
        <is>
          <t>Cost estimate</t>
        </is>
      </c>
      <c r="D71" s="15" t="inlineStr">
        <is>
          <t>Sensitivity chart (steel, cement, labour ±10%) (OPTIONAL)</t>
        </is>
      </c>
      <c r="E71" s="15" t="inlineStr">
        <is>
          <t>—</t>
        </is>
      </c>
      <c r="F71" s="15" t="inlineStr">
        <is>
          <t>Book</t>
        </is>
      </c>
      <c r="G71" s="15" t="inlineStr">
        <is>
          <t>—</t>
        </is>
      </c>
      <c r="H71" s="15" t="inlineStr">
        <is>
          <t>No pass mark (advisory)</t>
        </is>
      </c>
      <c r="I71" s="16" t="n"/>
      <c r="J71" s="16" t="n"/>
      <c r="K71" s="16" t="n"/>
      <c r="L71" s="17" t="n"/>
      <c r="M71" s="18">
        <f>IF(O71&lt;&gt;"",O71,Y71)</f>
        <v/>
      </c>
      <c r="N71" s="16" t="n"/>
      <c r="O71" s="19" t="n"/>
      <c r="P71" s="19" t="n"/>
      <c r="Q71" s="19" t="n"/>
      <c r="R71" s="20" t="inlineStr">
        <is>
          <t>—</t>
        </is>
      </c>
      <c r="S71" s="20" t="inlineStr">
        <is>
          <t>n/a</t>
        </is>
      </c>
      <c r="T71" s="20" t="inlineStr">
        <is>
          <t>Advisory</t>
        </is>
      </c>
      <c r="U71" s="20" t="n"/>
      <c r="V71" s="20" t="n"/>
      <c r="W71" s="20">
        <f>IF(AND(ISNUMBER(I71),ISNUMBER(J71)),I71-J71,"")</f>
        <v/>
      </c>
      <c r="X71" s="20">
        <f>IF(AND(ISNUMBER(I71),ISNUMBER(J71)),IF(J71=0,"",(I71-J71)/ABS(J71)),"")</f>
        <v/>
      </c>
      <c r="Y71" s="20">
        <f>IF(T71="Advisory","No pass mark",IF(T71="Manual","Claude will check",IF(I71="","Not done yet",IF(T71="Exact",IF(AND(ISNUMBER(I71),ISNUMBER(J71)),IF(ROUND(I71,2)=ROUND(J71,2),"Pass","Fail"),IF(TRIM(LOWER(I71&amp;""))=TRIM(LOWER(J71&amp;"")),"Pass","Fail")),IF(T71="Min",IF(I71&gt;=U71-1E-9,"Pass","Fail"),IF(T71="Between",IF(AND(I71&gt;=U71,I71&lt;=V71),"Pass","Fail"),IF(J71="","Not done yet",IF(T71="±%",IF(X71="","Check correct answer",IF(ABS(X71)*100&lt;=V71+1E-9,"Pass","Fail")),IF(T71="% range",IF(X71="","Check correct answer",IF(AND(X71*100&gt;=U71-1E-9,X71*100&lt;=V71+1E-9),"Pass","Fail")),IF(T71="±abs",IF(ABS(W71)&lt;=V71+1E-9,"Pass","Fail"),"Check type"))))))))))</f>
        <v/>
      </c>
    </row>
    <row r="72">
      <c r="A72" s="23" t="n"/>
      <c r="B72" s="24" t="inlineStr">
        <is>
          <t>C's tests (13)</t>
        </is>
      </c>
      <c r="C72" s="23" t="n"/>
      <c r="D72" s="23" t="n"/>
      <c r="E72" s="23" t="n"/>
      <c r="F72" s="23" t="n"/>
      <c r="G72" s="23" t="n"/>
      <c r="H72" s="23" t="n"/>
      <c r="I72" s="23" t="n"/>
      <c r="J72" s="23" t="n"/>
      <c r="K72" s="23" t="n"/>
      <c r="L72" s="23" t="n"/>
      <c r="M72" s="23" t="n"/>
      <c r="N72" s="23" t="n"/>
      <c r="O72" s="23" t="n"/>
      <c r="P72" s="23" t="n"/>
      <c r="Q72" s="23" t="n"/>
    </row>
    <row r="73">
      <c r="A73" s="15" t="inlineStr">
        <is>
          <t>S4-065</t>
        </is>
      </c>
      <c r="B73" s="15" t="inlineStr">
        <is>
          <t>C</t>
        </is>
      </c>
      <c r="C73" s="15" t="inlineStr">
        <is>
          <t>Programme</t>
        </is>
      </c>
      <c r="D73" s="15" t="inlineStr">
        <is>
          <t>Textbook network 1: critical path
→ Write as A-C-F</t>
        </is>
      </c>
      <c r="E73" s="15" t="inlineStr">
        <is>
          <t>activities</t>
        </is>
      </c>
      <c r="F73" s="15" t="inlineStr">
        <is>
          <t>Book</t>
        </is>
      </c>
      <c r="G73" s="15" t="inlineStr">
        <is>
          <t>Punmia and Khandelwal</t>
        </is>
      </c>
      <c r="H73" s="15" t="inlineStr">
        <is>
          <t>Same as correct answer</t>
        </is>
      </c>
      <c r="I73" s="16" t="n"/>
      <c r="J73" s="16" t="n"/>
      <c r="K73" s="16" t="n"/>
      <c r="L73" s="17">
        <f>IF(W73="","",W73)</f>
        <v/>
      </c>
      <c r="M73" s="18">
        <f>IF(O73&lt;&gt;"",O73,Y73)</f>
        <v/>
      </c>
      <c r="N73" s="16" t="n"/>
      <c r="O73" s="19" t="n"/>
      <c r="P73" s="19" t="n"/>
      <c r="Q73" s="19" t="n"/>
      <c r="R73" s="20" t="inlineStr">
        <is>
          <t>—</t>
        </is>
      </c>
      <c r="S73" s="20" t="inlineStr">
        <is>
          <t>n/a</t>
        </is>
      </c>
      <c r="T73" s="20" t="inlineStr">
        <is>
          <t>Exact</t>
        </is>
      </c>
      <c r="U73" s="20" t="n"/>
      <c r="V73" s="20" t="n"/>
      <c r="W73" s="20">
        <f>IF(AND(ISNUMBER(I73),ISNUMBER(J73)),I73-J73,"")</f>
        <v/>
      </c>
      <c r="X73" s="20">
        <f>IF(AND(ISNUMBER(I73),ISNUMBER(J73)),IF(J73=0,"",(I73-J73)/ABS(J73)),"")</f>
        <v/>
      </c>
      <c r="Y73" s="20">
        <f>IF(T73="Advisory","No pass mark",IF(T73="Manual","Claude will check",IF(I73="","Not done yet",IF(T73="Exact",IF(AND(ISNUMBER(I73),ISNUMBER(J73)),IF(ROUND(I73,2)=ROUND(J73,2),"Pass","Fail"),IF(TRIM(LOWER(I73&amp;""))=TRIM(LOWER(J73&amp;"")),"Pass","Fail")),IF(T73="Min",IF(I73&gt;=U73-1E-9,"Pass","Fail"),IF(T73="Between",IF(AND(I73&gt;=U73,I73&lt;=V73),"Pass","Fail"),IF(J73="","Not done yet",IF(T73="±%",IF(X73="","Check correct answer",IF(ABS(X73)*100&lt;=V73+1E-9,"Pass","Fail")),IF(T73="% range",IF(X73="","Check correct answer",IF(AND(X73*100&gt;=U73-1E-9,X73*100&lt;=V73+1E-9),"Pass","Fail")),IF(T73="±abs",IF(ABS(W73)&lt;=V73+1E-9,"Pass","Fail"),"Check type"))))))))))</f>
        <v/>
      </c>
    </row>
    <row r="74">
      <c r="A74" s="15" t="inlineStr">
        <is>
          <t>S4-066</t>
        </is>
      </c>
      <c r="B74" s="15" t="inlineStr">
        <is>
          <t>C</t>
        </is>
      </c>
      <c r="C74" s="15" t="inlineStr">
        <is>
          <t>Programme</t>
        </is>
      </c>
      <c r="D74" s="15" t="inlineStr">
        <is>
          <t>Textbook network 1: project duration</t>
        </is>
      </c>
      <c r="E74" s="15" t="inlineStr">
        <is>
          <t>days</t>
        </is>
      </c>
      <c r="F74" s="15" t="inlineStr">
        <is>
          <t>Book</t>
        </is>
      </c>
      <c r="G74" s="15" t="inlineStr">
        <is>
          <t>Punmia and Khandelwal</t>
        </is>
      </c>
      <c r="H74" s="15" t="inlineStr">
        <is>
          <t>Same as correct answer</t>
        </is>
      </c>
      <c r="I74" s="16" t="n"/>
      <c r="J74" s="16" t="n"/>
      <c r="K74" s="16" t="n"/>
      <c r="L74" s="17">
        <f>IF(W74="","",W74)</f>
        <v/>
      </c>
      <c r="M74" s="18">
        <f>IF(O74&lt;&gt;"",O74,Y74)</f>
        <v/>
      </c>
      <c r="N74" s="16" t="n"/>
      <c r="O74" s="19" t="n"/>
      <c r="P74" s="19" t="n"/>
      <c r="Q74" s="19" t="n"/>
      <c r="R74" s="20" t="inlineStr">
        <is>
          <t>—</t>
        </is>
      </c>
      <c r="S74" s="20" t="inlineStr">
        <is>
          <t>n/a</t>
        </is>
      </c>
      <c r="T74" s="20" t="inlineStr">
        <is>
          <t>Exact</t>
        </is>
      </c>
      <c r="U74" s="20" t="n"/>
      <c r="V74" s="20" t="n"/>
      <c r="W74" s="20">
        <f>IF(AND(ISNUMBER(I74),ISNUMBER(J74)),I74-J74,"")</f>
        <v/>
      </c>
      <c r="X74" s="20">
        <f>IF(AND(ISNUMBER(I74),ISNUMBER(J74)),IF(J74=0,"",(I74-J74)/ABS(J74)),"")</f>
        <v/>
      </c>
      <c r="Y74" s="20">
        <f>IF(T74="Advisory","No pass mark",IF(T74="Manual","Claude will check",IF(I74="","Not done yet",IF(T74="Exact",IF(AND(ISNUMBER(I74),ISNUMBER(J74)),IF(ROUND(I74,2)=ROUND(J74,2),"Pass","Fail"),IF(TRIM(LOWER(I74&amp;""))=TRIM(LOWER(J74&amp;"")),"Pass","Fail")),IF(T74="Min",IF(I74&gt;=U74-1E-9,"Pass","Fail"),IF(T74="Between",IF(AND(I74&gt;=U74,I74&lt;=V74),"Pass","Fail"),IF(J74="","Not done yet",IF(T74="±%",IF(X74="","Check correct answer",IF(ABS(X74)*100&lt;=V74+1E-9,"Pass","Fail")),IF(T74="% range",IF(X74="","Check correct answer",IF(AND(X74*100&gt;=U74-1E-9,X74*100&lt;=V74+1E-9),"Pass","Fail")),IF(T74="±abs",IF(ABS(W74)&lt;=V74+1E-9,"Pass","Fail"),"Check type"))))))))))</f>
        <v/>
      </c>
    </row>
    <row r="75">
      <c r="A75" s="15" t="inlineStr">
        <is>
          <t>S4-067</t>
        </is>
      </c>
      <c r="B75" s="15" t="inlineStr">
        <is>
          <t>C</t>
        </is>
      </c>
      <c r="C75" s="15" t="inlineStr">
        <is>
          <t>Programme</t>
        </is>
      </c>
      <c r="D75" s="15" t="inlineStr">
        <is>
          <t>Textbook network 1: duration in ProjectLibre</t>
        </is>
      </c>
      <c r="E75" s="15" t="inlineStr">
        <is>
          <t>days</t>
        </is>
      </c>
      <c r="F75" s="15" t="inlineStr">
        <is>
          <t>Real</t>
        </is>
      </c>
      <c r="G75" s="15" t="inlineStr">
        <is>
          <t>ProjectLibre</t>
        </is>
      </c>
      <c r="H75" s="15" t="inlineStr">
        <is>
          <t>Same as correct answer</t>
        </is>
      </c>
      <c r="I75" s="16" t="n"/>
      <c r="J75" s="16" t="n"/>
      <c r="K75" s="16" t="n"/>
      <c r="L75" s="17">
        <f>IF(W75="","",W75)</f>
        <v/>
      </c>
      <c r="M75" s="18">
        <f>IF(O75&lt;&gt;"",O75,Y75)</f>
        <v/>
      </c>
      <c r="N75" s="16" t="n"/>
      <c r="O75" s="19" t="n"/>
      <c r="P75" s="19" t="n"/>
      <c r="Q75" s="19" t="n"/>
      <c r="R75" s="20" t="inlineStr">
        <is>
          <t>—</t>
        </is>
      </c>
      <c r="S75" s="20" t="inlineStr">
        <is>
          <t>n/a</t>
        </is>
      </c>
      <c r="T75" s="20" t="inlineStr">
        <is>
          <t>Exact</t>
        </is>
      </c>
      <c r="U75" s="20" t="n"/>
      <c r="V75" s="20" t="n"/>
      <c r="W75" s="20">
        <f>IF(AND(ISNUMBER(I75),ISNUMBER(J75)),I75-J75,"")</f>
        <v/>
      </c>
      <c r="X75" s="20">
        <f>IF(AND(ISNUMBER(I75),ISNUMBER(J75)),IF(J75=0,"",(I75-J75)/ABS(J75)),"")</f>
        <v/>
      </c>
      <c r="Y75" s="20">
        <f>IF(T75="Advisory","No pass mark",IF(T75="Manual","Claude will check",IF(I75="","Not done yet",IF(T75="Exact",IF(AND(ISNUMBER(I75),ISNUMBER(J75)),IF(ROUND(I75,2)=ROUND(J75,2),"Pass","Fail"),IF(TRIM(LOWER(I75&amp;""))=TRIM(LOWER(J75&amp;"")),"Pass","Fail")),IF(T75="Min",IF(I75&gt;=U75-1E-9,"Pass","Fail"),IF(T75="Between",IF(AND(I75&gt;=U75,I75&lt;=V75),"Pass","Fail"),IF(J75="","Not done yet",IF(T75="±%",IF(X75="","Check correct answer",IF(ABS(X75)*100&lt;=V75+1E-9,"Pass","Fail")),IF(T75="% range",IF(X75="","Check correct answer",IF(AND(X75*100&gt;=U75-1E-9,X75*100&lt;=V75+1E-9),"Pass","Fail")),IF(T75="±abs",IF(ABS(W75)&lt;=V75+1E-9,"Pass","Fail"),"Check type"))))))))))</f>
        <v/>
      </c>
    </row>
    <row r="76">
      <c r="A76" s="15" t="inlineStr">
        <is>
          <t>S4-068</t>
        </is>
      </c>
      <c r="B76" s="15" t="inlineStr">
        <is>
          <t>C</t>
        </is>
      </c>
      <c r="C76" s="15" t="inlineStr">
        <is>
          <t>Programme</t>
        </is>
      </c>
      <c r="D76" s="15" t="inlineStr">
        <is>
          <t>Textbook network 2: critical path
→ Write as A-C-F</t>
        </is>
      </c>
      <c r="E76" s="15" t="inlineStr">
        <is>
          <t>activities</t>
        </is>
      </c>
      <c r="F76" s="15" t="inlineStr">
        <is>
          <t>Book</t>
        </is>
      </c>
      <c r="G76" s="15" t="inlineStr">
        <is>
          <t>Punmia and Khandelwal</t>
        </is>
      </c>
      <c r="H76" s="15" t="inlineStr">
        <is>
          <t>Same as correct answer</t>
        </is>
      </c>
      <c r="I76" s="16" t="n"/>
      <c r="J76" s="16" t="n"/>
      <c r="K76" s="16" t="n"/>
      <c r="L76" s="17">
        <f>IF(W76="","",W76)</f>
        <v/>
      </c>
      <c r="M76" s="18">
        <f>IF(O76&lt;&gt;"",O76,Y76)</f>
        <v/>
      </c>
      <c r="N76" s="16" t="n"/>
      <c r="O76" s="19" t="n"/>
      <c r="P76" s="19" t="n"/>
      <c r="Q76" s="19" t="n"/>
      <c r="R76" s="20" t="inlineStr">
        <is>
          <t>—</t>
        </is>
      </c>
      <c r="S76" s="20" t="inlineStr">
        <is>
          <t>n/a</t>
        </is>
      </c>
      <c r="T76" s="20" t="inlineStr">
        <is>
          <t>Exact</t>
        </is>
      </c>
      <c r="U76" s="20" t="n"/>
      <c r="V76" s="20" t="n"/>
      <c r="W76" s="20">
        <f>IF(AND(ISNUMBER(I76),ISNUMBER(J76)),I76-J76,"")</f>
        <v/>
      </c>
      <c r="X76" s="20">
        <f>IF(AND(ISNUMBER(I76),ISNUMBER(J76)),IF(J76=0,"",(I76-J76)/ABS(J76)),"")</f>
        <v/>
      </c>
      <c r="Y76" s="20">
        <f>IF(T76="Advisory","No pass mark",IF(T76="Manual","Claude will check",IF(I76="","Not done yet",IF(T76="Exact",IF(AND(ISNUMBER(I76),ISNUMBER(J76)),IF(ROUND(I76,2)=ROUND(J76,2),"Pass","Fail"),IF(TRIM(LOWER(I76&amp;""))=TRIM(LOWER(J76&amp;"")),"Pass","Fail")),IF(T76="Min",IF(I76&gt;=U76-1E-9,"Pass","Fail"),IF(T76="Between",IF(AND(I76&gt;=U76,I76&lt;=V76),"Pass","Fail"),IF(J76="","Not done yet",IF(T76="±%",IF(X76="","Check correct answer",IF(ABS(X76)*100&lt;=V76+1E-9,"Pass","Fail")),IF(T76="% range",IF(X76="","Check correct answer",IF(AND(X76*100&gt;=U76-1E-9,X76*100&lt;=V76+1E-9),"Pass","Fail")),IF(T76="±abs",IF(ABS(W76)&lt;=V76+1E-9,"Pass","Fail"),"Check type"))))))))))</f>
        <v/>
      </c>
    </row>
    <row r="77">
      <c r="A77" s="15" t="inlineStr">
        <is>
          <t>S4-069</t>
        </is>
      </c>
      <c r="B77" s="15" t="inlineStr">
        <is>
          <t>C</t>
        </is>
      </c>
      <c r="C77" s="15" t="inlineStr">
        <is>
          <t>Programme</t>
        </is>
      </c>
      <c r="D77" s="15" t="inlineStr">
        <is>
          <t>Textbook network 2: project duration</t>
        </is>
      </c>
      <c r="E77" s="15" t="inlineStr">
        <is>
          <t>days</t>
        </is>
      </c>
      <c r="F77" s="15" t="inlineStr">
        <is>
          <t>Book</t>
        </is>
      </c>
      <c r="G77" s="15" t="inlineStr">
        <is>
          <t>Punmia and Khandelwal</t>
        </is>
      </c>
      <c r="H77" s="15" t="inlineStr">
        <is>
          <t>Same as correct answer</t>
        </is>
      </c>
      <c r="I77" s="16" t="n"/>
      <c r="J77" s="16" t="n"/>
      <c r="K77" s="16" t="n"/>
      <c r="L77" s="17">
        <f>IF(W77="","",W77)</f>
        <v/>
      </c>
      <c r="M77" s="18">
        <f>IF(O77&lt;&gt;"",O77,Y77)</f>
        <v/>
      </c>
      <c r="N77" s="16" t="n"/>
      <c r="O77" s="19" t="n"/>
      <c r="P77" s="19" t="n"/>
      <c r="Q77" s="19" t="n"/>
      <c r="R77" s="20" t="inlineStr">
        <is>
          <t>—</t>
        </is>
      </c>
      <c r="S77" s="20" t="inlineStr">
        <is>
          <t>n/a</t>
        </is>
      </c>
      <c r="T77" s="20" t="inlineStr">
        <is>
          <t>Exact</t>
        </is>
      </c>
      <c r="U77" s="20" t="n"/>
      <c r="V77" s="20" t="n"/>
      <c r="W77" s="20">
        <f>IF(AND(ISNUMBER(I77),ISNUMBER(J77)),I77-J77,"")</f>
        <v/>
      </c>
      <c r="X77" s="20">
        <f>IF(AND(ISNUMBER(I77),ISNUMBER(J77)),IF(J77=0,"",(I77-J77)/ABS(J77)),"")</f>
        <v/>
      </c>
      <c r="Y77" s="20">
        <f>IF(T77="Advisory","No pass mark",IF(T77="Manual","Claude will check",IF(I77="","Not done yet",IF(T77="Exact",IF(AND(ISNUMBER(I77),ISNUMBER(J77)),IF(ROUND(I77,2)=ROUND(J77,2),"Pass","Fail"),IF(TRIM(LOWER(I77&amp;""))=TRIM(LOWER(J77&amp;"")),"Pass","Fail")),IF(T77="Min",IF(I77&gt;=U77-1E-9,"Pass","Fail"),IF(T77="Between",IF(AND(I77&gt;=U77,I77&lt;=V77),"Pass","Fail"),IF(J77="","Not done yet",IF(T77="±%",IF(X77="","Check correct answer",IF(ABS(X77)*100&lt;=V77+1E-9,"Pass","Fail")),IF(T77="% range",IF(X77="","Check correct answer",IF(AND(X77*100&gt;=U77-1E-9,X77*100&lt;=V77+1E-9),"Pass","Fail")),IF(T77="±abs",IF(ABS(W77)&lt;=V77+1E-9,"Pass","Fail"),"Check type"))))))))))</f>
        <v/>
      </c>
    </row>
    <row r="78">
      <c r="A78" s="15" t="inlineStr">
        <is>
          <t>S4-070</t>
        </is>
      </c>
      <c r="B78" s="15" t="inlineStr">
        <is>
          <t>C</t>
        </is>
      </c>
      <c r="C78" s="15" t="inlineStr">
        <is>
          <t>Programme</t>
        </is>
      </c>
      <c r="D78" s="15" t="inlineStr">
        <is>
          <t>Textbook network 2: duration in ProjectLibre</t>
        </is>
      </c>
      <c r="E78" s="15" t="inlineStr">
        <is>
          <t>days</t>
        </is>
      </c>
      <c r="F78" s="15" t="inlineStr">
        <is>
          <t>Real</t>
        </is>
      </c>
      <c r="G78" s="15" t="inlineStr">
        <is>
          <t>ProjectLibre</t>
        </is>
      </c>
      <c r="H78" s="15" t="inlineStr">
        <is>
          <t>Same as correct answer</t>
        </is>
      </c>
      <c r="I78" s="16" t="n"/>
      <c r="J78" s="16" t="n"/>
      <c r="K78" s="16" t="n"/>
      <c r="L78" s="17">
        <f>IF(W78="","",W78)</f>
        <v/>
      </c>
      <c r="M78" s="18">
        <f>IF(O78&lt;&gt;"",O78,Y78)</f>
        <v/>
      </c>
      <c r="N78" s="16" t="n"/>
      <c r="O78" s="19" t="n"/>
      <c r="P78" s="19" t="n"/>
      <c r="Q78" s="19" t="n"/>
      <c r="R78" s="20" t="inlineStr">
        <is>
          <t>—</t>
        </is>
      </c>
      <c r="S78" s="20" t="inlineStr">
        <is>
          <t>n/a</t>
        </is>
      </c>
      <c r="T78" s="20" t="inlineStr">
        <is>
          <t>Exact</t>
        </is>
      </c>
      <c r="U78" s="20" t="n"/>
      <c r="V78" s="20" t="n"/>
      <c r="W78" s="20">
        <f>IF(AND(ISNUMBER(I78),ISNUMBER(J78)),I78-J78,"")</f>
        <v/>
      </c>
      <c r="X78" s="20">
        <f>IF(AND(ISNUMBER(I78),ISNUMBER(J78)),IF(J78=0,"",(I78-J78)/ABS(J78)),"")</f>
        <v/>
      </c>
      <c r="Y78" s="20">
        <f>IF(T78="Advisory","No pass mark",IF(T78="Manual","Claude will check",IF(I78="","Not done yet",IF(T78="Exact",IF(AND(ISNUMBER(I78),ISNUMBER(J78)),IF(ROUND(I78,2)=ROUND(J78,2),"Pass","Fail"),IF(TRIM(LOWER(I78&amp;""))=TRIM(LOWER(J78&amp;"")),"Pass","Fail")),IF(T78="Min",IF(I78&gt;=U78-1E-9,"Pass","Fail"),IF(T78="Between",IF(AND(I78&gt;=U78,I78&lt;=V78),"Pass","Fail"),IF(J78="","Not done yet",IF(T78="±%",IF(X78="","Check correct answer",IF(ABS(X78)*100&lt;=V78+1E-9,"Pass","Fail")),IF(T78="% range",IF(X78="","Check correct answer",IF(AND(X78*100&gt;=U78-1E-9,X78*100&lt;=V78+1E-9),"Pass","Fail")),IF(T78="±abs",IF(ABS(W78)&lt;=V78+1E-9,"Pass","Fail"),"Check type"))))))))))</f>
        <v/>
      </c>
    </row>
    <row r="79">
      <c r="A79" s="15" t="inlineStr">
        <is>
          <t>S4-071</t>
        </is>
      </c>
      <c r="B79" s="15" t="inlineStr">
        <is>
          <t>C</t>
        </is>
      </c>
      <c r="C79" s="15" t="inlineStr">
        <is>
          <t>Programme</t>
        </is>
      </c>
      <c r="D79" s="15" t="inlineStr">
        <is>
          <t>Textbook network 3: critical path
→ Write as A-C-F</t>
        </is>
      </c>
      <c r="E79" s="15" t="inlineStr">
        <is>
          <t>activities</t>
        </is>
      </c>
      <c r="F79" s="15" t="inlineStr">
        <is>
          <t>Book</t>
        </is>
      </c>
      <c r="G79" s="15" t="inlineStr">
        <is>
          <t>Punmia and Khandelwal</t>
        </is>
      </c>
      <c r="H79" s="15" t="inlineStr">
        <is>
          <t>Same as correct answer</t>
        </is>
      </c>
      <c r="I79" s="16" t="n"/>
      <c r="J79" s="16" t="n"/>
      <c r="K79" s="16" t="n"/>
      <c r="L79" s="17">
        <f>IF(W79="","",W79)</f>
        <v/>
      </c>
      <c r="M79" s="18">
        <f>IF(O79&lt;&gt;"",O79,Y79)</f>
        <v/>
      </c>
      <c r="N79" s="16" t="n"/>
      <c r="O79" s="19" t="n"/>
      <c r="P79" s="19" t="n"/>
      <c r="Q79" s="19" t="n"/>
      <c r="R79" s="20" t="inlineStr">
        <is>
          <t>—</t>
        </is>
      </c>
      <c r="S79" s="20" t="inlineStr">
        <is>
          <t>n/a</t>
        </is>
      </c>
      <c r="T79" s="20" t="inlineStr">
        <is>
          <t>Exact</t>
        </is>
      </c>
      <c r="U79" s="20" t="n"/>
      <c r="V79" s="20" t="n"/>
      <c r="W79" s="20">
        <f>IF(AND(ISNUMBER(I79),ISNUMBER(J79)),I79-J79,"")</f>
        <v/>
      </c>
      <c r="X79" s="20">
        <f>IF(AND(ISNUMBER(I79),ISNUMBER(J79)),IF(J79=0,"",(I79-J79)/ABS(J79)),"")</f>
        <v/>
      </c>
      <c r="Y79" s="20">
        <f>IF(T79="Advisory","No pass mark",IF(T79="Manual","Claude will check",IF(I79="","Not done yet",IF(T79="Exact",IF(AND(ISNUMBER(I79),ISNUMBER(J79)),IF(ROUND(I79,2)=ROUND(J79,2),"Pass","Fail"),IF(TRIM(LOWER(I79&amp;""))=TRIM(LOWER(J79&amp;"")),"Pass","Fail")),IF(T79="Min",IF(I79&gt;=U79-1E-9,"Pass","Fail"),IF(T79="Between",IF(AND(I79&gt;=U79,I79&lt;=V79),"Pass","Fail"),IF(J79="","Not done yet",IF(T79="±%",IF(X79="","Check correct answer",IF(ABS(X79)*100&lt;=V79+1E-9,"Pass","Fail")),IF(T79="% range",IF(X79="","Check correct answer",IF(AND(X79*100&gt;=U79-1E-9,X79*100&lt;=V79+1E-9),"Pass","Fail")),IF(T79="±abs",IF(ABS(W79)&lt;=V79+1E-9,"Pass","Fail"),"Check type"))))))))))</f>
        <v/>
      </c>
    </row>
    <row r="80">
      <c r="A80" s="15" t="inlineStr">
        <is>
          <t>S4-072</t>
        </is>
      </c>
      <c r="B80" s="15" t="inlineStr">
        <is>
          <t>C</t>
        </is>
      </c>
      <c r="C80" s="15" t="inlineStr">
        <is>
          <t>Programme</t>
        </is>
      </c>
      <c r="D80" s="15" t="inlineStr">
        <is>
          <t>Textbook network 3: project duration</t>
        </is>
      </c>
      <c r="E80" s="15" t="inlineStr">
        <is>
          <t>days</t>
        </is>
      </c>
      <c r="F80" s="15" t="inlineStr">
        <is>
          <t>Book</t>
        </is>
      </c>
      <c r="G80" s="15" t="inlineStr">
        <is>
          <t>Punmia and Khandelwal</t>
        </is>
      </c>
      <c r="H80" s="15" t="inlineStr">
        <is>
          <t>Same as correct answer</t>
        </is>
      </c>
      <c r="I80" s="16" t="n"/>
      <c r="J80" s="16" t="n"/>
      <c r="K80" s="16" t="n"/>
      <c r="L80" s="17">
        <f>IF(W80="","",W80)</f>
        <v/>
      </c>
      <c r="M80" s="18">
        <f>IF(O80&lt;&gt;"",O80,Y80)</f>
        <v/>
      </c>
      <c r="N80" s="16" t="n"/>
      <c r="O80" s="19" t="n"/>
      <c r="P80" s="19" t="n"/>
      <c r="Q80" s="19" t="n"/>
      <c r="R80" s="20" t="inlineStr">
        <is>
          <t>—</t>
        </is>
      </c>
      <c r="S80" s="20" t="inlineStr">
        <is>
          <t>n/a</t>
        </is>
      </c>
      <c r="T80" s="20" t="inlineStr">
        <is>
          <t>Exact</t>
        </is>
      </c>
      <c r="U80" s="20" t="n"/>
      <c r="V80" s="20" t="n"/>
      <c r="W80" s="20">
        <f>IF(AND(ISNUMBER(I80),ISNUMBER(J80)),I80-J80,"")</f>
        <v/>
      </c>
      <c r="X80" s="20">
        <f>IF(AND(ISNUMBER(I80),ISNUMBER(J80)),IF(J80=0,"",(I80-J80)/ABS(J80)),"")</f>
        <v/>
      </c>
      <c r="Y80" s="20">
        <f>IF(T80="Advisory","No pass mark",IF(T80="Manual","Claude will check",IF(I80="","Not done yet",IF(T80="Exact",IF(AND(ISNUMBER(I80),ISNUMBER(J80)),IF(ROUND(I80,2)=ROUND(J80,2),"Pass","Fail"),IF(TRIM(LOWER(I80&amp;""))=TRIM(LOWER(J80&amp;"")),"Pass","Fail")),IF(T80="Min",IF(I80&gt;=U80-1E-9,"Pass","Fail"),IF(T80="Between",IF(AND(I80&gt;=U80,I80&lt;=V80),"Pass","Fail"),IF(J80="","Not done yet",IF(T80="±%",IF(X80="","Check correct answer",IF(ABS(X80)*100&lt;=V80+1E-9,"Pass","Fail")),IF(T80="% range",IF(X80="","Check correct answer",IF(AND(X80*100&gt;=U80-1E-9,X80*100&lt;=V80+1E-9),"Pass","Fail")),IF(T80="±abs",IF(ABS(W80)&lt;=V80+1E-9,"Pass","Fail"),"Check type"))))))))))</f>
        <v/>
      </c>
    </row>
    <row r="81">
      <c r="A81" s="15" t="inlineStr">
        <is>
          <t>S4-073</t>
        </is>
      </c>
      <c r="B81" s="15" t="inlineStr">
        <is>
          <t>C</t>
        </is>
      </c>
      <c r="C81" s="15" t="inlineStr">
        <is>
          <t>Programme</t>
        </is>
      </c>
      <c r="D81" s="15" t="inlineStr">
        <is>
          <t>Textbook network 3: duration in ProjectLibre</t>
        </is>
      </c>
      <c r="E81" s="15" t="inlineStr">
        <is>
          <t>days</t>
        </is>
      </c>
      <c r="F81" s="15" t="inlineStr">
        <is>
          <t>Real</t>
        </is>
      </c>
      <c r="G81" s="15" t="inlineStr">
        <is>
          <t>ProjectLibre</t>
        </is>
      </c>
      <c r="H81" s="15" t="inlineStr">
        <is>
          <t>Same as correct answer</t>
        </is>
      </c>
      <c r="I81" s="16" t="n"/>
      <c r="J81" s="16" t="n"/>
      <c r="K81" s="16" t="n"/>
      <c r="L81" s="17">
        <f>IF(W81="","",W81)</f>
        <v/>
      </c>
      <c r="M81" s="18">
        <f>IF(O81&lt;&gt;"",O81,Y81)</f>
        <v/>
      </c>
      <c r="N81" s="16" t="n"/>
      <c r="O81" s="19" t="n"/>
      <c r="P81" s="19" t="n"/>
      <c r="Q81" s="19" t="n"/>
      <c r="R81" s="20" t="inlineStr">
        <is>
          <t>—</t>
        </is>
      </c>
      <c r="S81" s="20" t="inlineStr">
        <is>
          <t>n/a</t>
        </is>
      </c>
      <c r="T81" s="20" t="inlineStr">
        <is>
          <t>Exact</t>
        </is>
      </c>
      <c r="U81" s="20" t="n"/>
      <c r="V81" s="20" t="n"/>
      <c r="W81" s="20">
        <f>IF(AND(ISNUMBER(I81),ISNUMBER(J81)),I81-J81,"")</f>
        <v/>
      </c>
      <c r="X81" s="20">
        <f>IF(AND(ISNUMBER(I81),ISNUMBER(J81)),IF(J81=0,"",(I81-J81)/ABS(J81)),"")</f>
        <v/>
      </c>
      <c r="Y81" s="20">
        <f>IF(T81="Advisory","No pass mark",IF(T81="Manual","Claude will check",IF(I81="","Not done yet",IF(T81="Exact",IF(AND(ISNUMBER(I81),ISNUMBER(J81)),IF(ROUND(I81,2)=ROUND(J81,2),"Pass","Fail"),IF(TRIM(LOWER(I81&amp;""))=TRIM(LOWER(J81&amp;"")),"Pass","Fail")),IF(T81="Min",IF(I81&gt;=U81-1E-9,"Pass","Fail"),IF(T81="Between",IF(AND(I81&gt;=U81,I81&lt;=V81),"Pass","Fail"),IF(J81="","Not done yet",IF(T81="±%",IF(X81="","Check correct answer",IF(ABS(X81)*100&lt;=V81+1E-9,"Pass","Fail")),IF(T81="% range",IF(X81="","Check correct answer",IF(AND(X81*100&gt;=U81-1E-9,X81*100&lt;=V81+1E-9),"Pass","Fail")),IF(T81="±abs",IF(ABS(W81)&lt;=V81+1E-9,"Pass","Fail"),"Check type"))))))))))</f>
        <v/>
      </c>
    </row>
    <row r="82">
      <c r="A82" s="15" t="inlineStr">
        <is>
          <t>S4-074</t>
        </is>
      </c>
      <c r="B82" s="15" t="inlineStr">
        <is>
          <t>C</t>
        </is>
      </c>
      <c r="C82" s="15" t="inlineStr">
        <is>
          <t>Programme vs reality</t>
        </is>
      </c>
      <c r="D82" s="15" t="inlineStr">
        <is>
          <t>Replay project, quarter 1: % complete</t>
        </is>
      </c>
      <c r="E82" s="15" t="inlineStr">
        <is>
          <t>%</t>
        </is>
      </c>
      <c r="F82" s="15" t="inlineStr">
        <is>
          <t>Real</t>
        </is>
      </c>
      <c r="G82" s="15" t="inlineStr">
        <is>
          <t>RERA quarterly progress report</t>
        </is>
      </c>
      <c r="H82" s="15" t="inlineStr">
        <is>
          <t>Within ±10 percentage points</t>
        </is>
      </c>
      <c r="I82" s="16" t="n"/>
      <c r="J82" s="16" t="n"/>
      <c r="K82" s="16" t="n"/>
      <c r="L82" s="17">
        <f>IF(W82="","",W82)</f>
        <v/>
      </c>
      <c r="M82" s="18">
        <f>IF(O82&lt;&gt;"",O82,Y82)</f>
        <v/>
      </c>
      <c r="N82" s="16" t="n"/>
      <c r="O82" s="19" t="n"/>
      <c r="P82" s="19" t="n"/>
      <c r="Q82" s="19" t="n"/>
      <c r="R82" s="20" t="inlineStr">
        <is>
          <t>—</t>
        </is>
      </c>
      <c r="S82" s="20" t="inlineStr">
        <is>
          <t>n/a</t>
        </is>
      </c>
      <c r="T82" s="20" t="inlineStr">
        <is>
          <t>±abs</t>
        </is>
      </c>
      <c r="U82" s="20" t="n"/>
      <c r="V82" s="20" t="n">
        <v>10</v>
      </c>
      <c r="W82" s="20">
        <f>IF(AND(ISNUMBER(I82),ISNUMBER(J82)),I82-J82,"")</f>
        <v/>
      </c>
      <c r="X82" s="20">
        <f>IF(AND(ISNUMBER(I82),ISNUMBER(J82)),IF(J82=0,"",(I82-J82)/ABS(J82)),"")</f>
        <v/>
      </c>
      <c r="Y82" s="20">
        <f>IF(T82="Advisory","No pass mark",IF(T82="Manual","Claude will check",IF(I82="","Not done yet",IF(T82="Exact",IF(AND(ISNUMBER(I82),ISNUMBER(J82)),IF(ROUND(I82,2)=ROUND(J82,2),"Pass","Fail"),IF(TRIM(LOWER(I82&amp;""))=TRIM(LOWER(J82&amp;"")),"Pass","Fail")),IF(T82="Min",IF(I82&gt;=U82-1E-9,"Pass","Fail"),IF(T82="Between",IF(AND(I82&gt;=U82,I82&lt;=V82),"Pass","Fail"),IF(J82="","Not done yet",IF(T82="±%",IF(X82="","Check correct answer",IF(ABS(X82)*100&lt;=V82+1E-9,"Pass","Fail")),IF(T82="% range",IF(X82="","Check correct answer",IF(AND(X82*100&gt;=U82-1E-9,X82*100&lt;=V82+1E-9),"Pass","Fail")),IF(T82="±abs",IF(ABS(W82)&lt;=V82+1E-9,"Pass","Fail"),"Check type"))))))))))</f>
        <v/>
      </c>
    </row>
    <row r="83">
      <c r="A83" s="15" t="inlineStr">
        <is>
          <t>S4-075</t>
        </is>
      </c>
      <c r="B83" s="15" t="inlineStr">
        <is>
          <t>C</t>
        </is>
      </c>
      <c r="C83" s="15" t="inlineStr">
        <is>
          <t>Programme vs reality</t>
        </is>
      </c>
      <c r="D83" s="15" t="inlineStr">
        <is>
          <t>Replay project, quarter 2: % complete</t>
        </is>
      </c>
      <c r="E83" s="15" t="inlineStr">
        <is>
          <t>%</t>
        </is>
      </c>
      <c r="F83" s="15" t="inlineStr">
        <is>
          <t>Real</t>
        </is>
      </c>
      <c r="G83" s="15" t="inlineStr">
        <is>
          <t>RERA quarterly progress report</t>
        </is>
      </c>
      <c r="H83" s="15" t="inlineStr">
        <is>
          <t>Within ±10 percentage points</t>
        </is>
      </c>
      <c r="I83" s="16" t="n"/>
      <c r="J83" s="16" t="n"/>
      <c r="K83" s="16" t="n"/>
      <c r="L83" s="17">
        <f>IF(W83="","",W83)</f>
        <v/>
      </c>
      <c r="M83" s="18">
        <f>IF(O83&lt;&gt;"",O83,Y83)</f>
        <v/>
      </c>
      <c r="N83" s="16" t="n"/>
      <c r="O83" s="19" t="n"/>
      <c r="P83" s="19" t="n"/>
      <c r="Q83" s="19" t="n"/>
      <c r="R83" s="20" t="inlineStr">
        <is>
          <t>—</t>
        </is>
      </c>
      <c r="S83" s="20" t="inlineStr">
        <is>
          <t>n/a</t>
        </is>
      </c>
      <c r="T83" s="20" t="inlineStr">
        <is>
          <t>±abs</t>
        </is>
      </c>
      <c r="U83" s="20" t="n"/>
      <c r="V83" s="20" t="n">
        <v>10</v>
      </c>
      <c r="W83" s="20">
        <f>IF(AND(ISNUMBER(I83),ISNUMBER(J83)),I83-J83,"")</f>
        <v/>
      </c>
      <c r="X83" s="20">
        <f>IF(AND(ISNUMBER(I83),ISNUMBER(J83)),IF(J83=0,"",(I83-J83)/ABS(J83)),"")</f>
        <v/>
      </c>
      <c r="Y83" s="20">
        <f>IF(T83="Advisory","No pass mark",IF(T83="Manual","Claude will check",IF(I83="","Not done yet",IF(T83="Exact",IF(AND(ISNUMBER(I83),ISNUMBER(J83)),IF(ROUND(I83,2)=ROUND(J83,2),"Pass","Fail"),IF(TRIM(LOWER(I83&amp;""))=TRIM(LOWER(J83&amp;"")),"Pass","Fail")),IF(T83="Min",IF(I83&gt;=U83-1E-9,"Pass","Fail"),IF(T83="Between",IF(AND(I83&gt;=U83,I83&lt;=V83),"Pass","Fail"),IF(J83="","Not done yet",IF(T83="±%",IF(X83="","Check correct answer",IF(ABS(X83)*100&lt;=V83+1E-9,"Pass","Fail")),IF(T83="% range",IF(X83="","Check correct answer",IF(AND(X83*100&gt;=U83-1E-9,X83*100&lt;=V83+1E-9),"Pass","Fail")),IF(T83="±abs",IF(ABS(W83)&lt;=V83+1E-9,"Pass","Fail"),"Check type"))))))))))</f>
        <v/>
      </c>
    </row>
    <row r="84">
      <c r="A84" s="15" t="inlineStr">
        <is>
          <t>S4-076</t>
        </is>
      </c>
      <c r="B84" s="15" t="inlineStr">
        <is>
          <t>C</t>
        </is>
      </c>
      <c r="C84" s="15" t="inlineStr">
        <is>
          <t>Programme vs reality</t>
        </is>
      </c>
      <c r="D84" s="15" t="inlineStr">
        <is>
          <t>Replay project, quarter 3: % complete</t>
        </is>
      </c>
      <c r="E84" s="15" t="inlineStr">
        <is>
          <t>%</t>
        </is>
      </c>
      <c r="F84" s="15" t="inlineStr">
        <is>
          <t>Real</t>
        </is>
      </c>
      <c r="G84" s="15" t="inlineStr">
        <is>
          <t>RERA quarterly progress report</t>
        </is>
      </c>
      <c r="H84" s="15" t="inlineStr">
        <is>
          <t>Within ±10 percentage points</t>
        </is>
      </c>
      <c r="I84" s="16" t="n"/>
      <c r="J84" s="16" t="n"/>
      <c r="K84" s="16" t="n"/>
      <c r="L84" s="17">
        <f>IF(W84="","",W84)</f>
        <v/>
      </c>
      <c r="M84" s="18">
        <f>IF(O84&lt;&gt;"",O84,Y84)</f>
        <v/>
      </c>
      <c r="N84" s="16" t="n"/>
      <c r="O84" s="19" t="n"/>
      <c r="P84" s="19" t="n"/>
      <c r="Q84" s="19" t="n"/>
      <c r="R84" s="20" t="inlineStr">
        <is>
          <t>—</t>
        </is>
      </c>
      <c r="S84" s="20" t="inlineStr">
        <is>
          <t>n/a</t>
        </is>
      </c>
      <c r="T84" s="20" t="inlineStr">
        <is>
          <t>±abs</t>
        </is>
      </c>
      <c r="U84" s="20" t="n"/>
      <c r="V84" s="20" t="n">
        <v>10</v>
      </c>
      <c r="W84" s="20">
        <f>IF(AND(ISNUMBER(I84),ISNUMBER(J84)),I84-J84,"")</f>
        <v/>
      </c>
      <c r="X84" s="20">
        <f>IF(AND(ISNUMBER(I84),ISNUMBER(J84)),IF(J84=0,"",(I84-J84)/ABS(J84)),"")</f>
        <v/>
      </c>
      <c r="Y84" s="20">
        <f>IF(T84="Advisory","No pass mark",IF(T84="Manual","Claude will check",IF(I84="","Not done yet",IF(T84="Exact",IF(AND(ISNUMBER(I84),ISNUMBER(J84)),IF(ROUND(I84,2)=ROUND(J84,2),"Pass","Fail"),IF(TRIM(LOWER(I84&amp;""))=TRIM(LOWER(J84&amp;"")),"Pass","Fail")),IF(T84="Min",IF(I84&gt;=U84-1E-9,"Pass","Fail"),IF(T84="Between",IF(AND(I84&gt;=U84,I84&lt;=V84),"Pass","Fail"),IF(J84="","Not done yet",IF(T84="±%",IF(X84="","Check correct answer",IF(ABS(X84)*100&lt;=V84+1E-9,"Pass","Fail")),IF(T84="% range",IF(X84="","Check correct answer",IF(AND(X84*100&gt;=U84-1E-9,X84*100&lt;=V84+1E-9),"Pass","Fail")),IF(T84="±abs",IF(ABS(W84)&lt;=V84+1E-9,"Pass","Fail"),"Check type"))))))))))</f>
        <v/>
      </c>
    </row>
    <row r="85">
      <c r="A85" s="15" t="inlineStr">
        <is>
          <t>S4-077</t>
        </is>
      </c>
      <c r="B85" s="15" t="inlineStr">
        <is>
          <t>C</t>
        </is>
      </c>
      <c r="C85" s="15" t="inlineStr">
        <is>
          <t>Programme vs reality</t>
        </is>
      </c>
      <c r="D85" s="15" t="inlineStr">
        <is>
          <t>Replay project, quarter 4: % complete</t>
        </is>
      </c>
      <c r="E85" s="15" t="inlineStr">
        <is>
          <t>%</t>
        </is>
      </c>
      <c r="F85" s="15" t="inlineStr">
        <is>
          <t>Real</t>
        </is>
      </c>
      <c r="G85" s="15" t="inlineStr">
        <is>
          <t>RERA quarterly progress report</t>
        </is>
      </c>
      <c r="H85" s="15" t="inlineStr">
        <is>
          <t>Within ±10 percentage points</t>
        </is>
      </c>
      <c r="I85" s="16" t="n"/>
      <c r="J85" s="16" t="n"/>
      <c r="K85" s="16" t="n"/>
      <c r="L85" s="17">
        <f>IF(W85="","",W85)</f>
        <v/>
      </c>
      <c r="M85" s="18">
        <f>IF(O85&lt;&gt;"",O85,Y85)</f>
        <v/>
      </c>
      <c r="N85" s="16" t="n"/>
      <c r="O85" s="19" t="n"/>
      <c r="P85" s="19" t="n"/>
      <c r="Q85" s="19" t="n"/>
      <c r="R85" s="20" t="inlineStr">
        <is>
          <t>—</t>
        </is>
      </c>
      <c r="S85" s="20" t="inlineStr">
        <is>
          <t>n/a</t>
        </is>
      </c>
      <c r="T85" s="20" t="inlineStr">
        <is>
          <t>±abs</t>
        </is>
      </c>
      <c r="U85" s="20" t="n"/>
      <c r="V85" s="20" t="n">
        <v>10</v>
      </c>
      <c r="W85" s="20">
        <f>IF(AND(ISNUMBER(I85),ISNUMBER(J85)),I85-J85,"")</f>
        <v/>
      </c>
      <c r="X85" s="20">
        <f>IF(AND(ISNUMBER(I85),ISNUMBER(J85)),IF(J85=0,"",(I85-J85)/ABS(J85)),"")</f>
        <v/>
      </c>
      <c r="Y85" s="20">
        <f>IF(T85="Advisory","No pass mark",IF(T85="Manual","Claude will check",IF(I85="","Not done yet",IF(T85="Exact",IF(AND(ISNUMBER(I85),ISNUMBER(J85)),IF(ROUND(I85,2)=ROUND(J85,2),"Pass","Fail"),IF(TRIM(LOWER(I85&amp;""))=TRIM(LOWER(J85&amp;"")),"Pass","Fail")),IF(T85="Min",IF(I85&gt;=U85-1E-9,"Pass","Fail"),IF(T85="Between",IF(AND(I85&gt;=U85,I85&lt;=V85),"Pass","Fail"),IF(J85="","Not done yet",IF(T85="±%",IF(X85="","Check correct answer",IF(ABS(X85)*100&lt;=V85+1E-9,"Pass","Fail")),IF(T85="% range",IF(X85="","Check correct answer",IF(AND(X85*100&gt;=U85-1E-9,X85*100&lt;=V85+1E-9),"Pass","Fail")),IF(T85="±abs",IF(ABS(W85)&lt;=V85+1E-9,"Pass","Fail"),"Check type"))))))))))</f>
        <v/>
      </c>
    </row>
  </sheetData>
  <autoFilter ref="A5:Q85"/>
  <mergeCells count="1">
    <mergeCell ref="A2:N3"/>
  </mergeCells>
  <conditionalFormatting sqref="M6:M185">
    <cfRule type="cellIs" priority="1" operator="equal" dxfId="1">
      <formula>"Pass"</formula>
    </cfRule>
    <cfRule type="cellIs" priority="2" operator="equal" dxfId="2">
      <formula>"Fail"</formula>
    </cfRule>
  </conditionalFormatting>
  <dataValidations count="2">
    <dataValidation sqref="O6:O185" showDropDown="0" showInputMessage="0" showErrorMessage="0" allowBlank="1" type="list">
      <formula1>"Pass,Fail,Not tested"</formula1>
    </dataValidation>
    <dataValidation sqref="Q6:Q185" showDropDown="0" showInputMessage="0" showErrorMessage="0" allowBlank="1" type="list">
      <formula1>"App bug (our code),We entered wrong input,Measured a different way,Not sure the book/RERA value is right,Limit of the app's method"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0"/>
    <pageSetUpPr/>
  </sheetPr>
  <dimension ref="A1:Y31"/>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8" customWidth="1" min="3" max="3"/>
    <col width="46" customWidth="1" min="4" max="4"/>
    <col width="10" customWidth="1" min="5" max="5"/>
    <col width="8" customWidth="1" min="6" max="6"/>
    <col width="30" customWidth="1" min="7" max="7"/>
    <col width="24" customWidth="1" min="8" max="8"/>
    <col width="13" customWidth="1" min="9" max="9"/>
    <col width="13" customWidth="1" min="10" max="10"/>
    <col width="28" customWidth="1" min="11" max="11"/>
    <col width="10" customWidth="1" min="12" max="12"/>
    <col width="13" customWidth="1" min="13" max="13"/>
    <col width="30" customWidth="1" min="14" max="14"/>
    <col width="11" customWidth="1" min="15" max="15"/>
    <col width="11" customWidth="1" min="16" max="16"/>
    <col width="18" customWidth="1" min="17" max="17"/>
    <col hidden="1" outlineLevel="1" width="24" customWidth="1" min="18" max="25"/>
  </cols>
  <sheetData>
    <row r="1">
      <c r="A1" s="4" t="inlineStr">
        <is>
          <t>Stage 5 Deliver (week 10)</t>
        </is>
      </c>
    </row>
    <row r="2" ht="22" customHeight="1">
      <c r="A2" s="10" t="inlineStr">
        <is>
          <t>HOW TO FILL:  1) Find your letter.  2) Run the test in the app and type its answer in App answer.  3) Type the correct answer from the book or RERA in Correct answer (some are already filled).  4) Write where you got it.  5) Result fills itself. Don't change grey cells.</t>
        </is>
      </c>
    </row>
    <row r="3" ht="22" customHeight="1"/>
    <row r="4">
      <c r="A4" s="11" t="inlineStr">
        <is>
          <t>Yellow = you fill  ·  Grey = fixed plan, don't change  ·  Blue = Claude fills  ·  Click + above column R to see technical details</t>
        </is>
      </c>
    </row>
    <row r="5" ht="42" customHeight="1">
      <c r="A5" s="6" t="inlineStr">
        <is>
          <t>#</t>
        </is>
      </c>
      <c r="B5" s="6" t="inlineStr">
        <is>
          <t>Who</t>
        </is>
      </c>
      <c r="C5" s="6" t="inlineStr">
        <is>
          <t>Topic</t>
        </is>
      </c>
      <c r="D5" s="6" t="inlineStr">
        <is>
          <t>What to test</t>
        </is>
      </c>
      <c r="E5" s="6" t="inlineStr">
        <is>
          <t>Unit</t>
        </is>
      </c>
      <c r="F5" s="6" t="inlineStr">
        <is>
          <t>Type</t>
        </is>
      </c>
      <c r="G5" s="6" t="inlineStr">
        <is>
          <t>Compare with</t>
        </is>
      </c>
      <c r="H5" s="6" t="inlineStr">
        <is>
          <t>Pass if</t>
        </is>
      </c>
      <c r="I5" s="6" t="inlineStr">
        <is>
          <t>App answer</t>
        </is>
      </c>
      <c r="J5" s="6" t="inlineStr">
        <is>
          <t>Correct answer</t>
        </is>
      </c>
      <c r="K5" s="6" t="inlineStr">
        <is>
          <t>Where you got it (book + page, or RERA no.)</t>
        </is>
      </c>
      <c r="L5" s="6" t="inlineStr">
        <is>
          <t>Off by</t>
        </is>
      </c>
      <c r="M5" s="6" t="inlineStr">
        <is>
          <t>Result</t>
        </is>
      </c>
      <c r="N5" s="6" t="inlineStr">
        <is>
          <t>Notes</t>
        </is>
      </c>
      <c r="O5" s="12" t="inlineStr">
        <is>
          <t>Claude: override</t>
        </is>
      </c>
      <c r="P5" s="12" t="inlineStr">
        <is>
          <t>Claude: first-run result</t>
        </is>
      </c>
      <c r="Q5" s="12" t="inlineStr">
        <is>
          <t>Claude: why it failed</t>
        </is>
      </c>
      <c r="R5" s="6" t="inlineStr">
        <is>
          <t>Code / clause</t>
        </is>
      </c>
      <c r="S5" s="6" t="inlineStr">
        <is>
          <t>Edition</t>
        </is>
      </c>
      <c r="T5" s="6" t="inlineStr">
        <is>
          <t>Tol type</t>
        </is>
      </c>
      <c r="U5" s="6" t="inlineStr">
        <is>
          <t>Tol low</t>
        </is>
      </c>
      <c r="V5" s="6" t="inlineStr">
        <is>
          <t>Tol high</t>
        </is>
      </c>
      <c r="W5" s="6" t="inlineStr">
        <is>
          <t>Difference</t>
        </is>
      </c>
      <c r="X5" s="6" t="inlineStr">
        <is>
          <t>Error %</t>
        </is>
      </c>
      <c r="Y5" s="6" t="inlineStr">
        <is>
          <t>Auto result</t>
        </is>
      </c>
    </row>
    <row r="6">
      <c r="A6" s="13" t="n"/>
      <c r="B6" s="14" t="inlineStr">
        <is>
          <t>A's tests (6)</t>
        </is>
      </c>
      <c r="C6" s="13" t="n"/>
      <c r="D6" s="13" t="n"/>
      <c r="E6" s="13" t="n"/>
      <c r="F6" s="13" t="n"/>
      <c r="G6" s="13" t="n"/>
      <c r="H6" s="13" t="n"/>
      <c r="I6" s="13" t="n"/>
      <c r="J6" s="13" t="n"/>
      <c r="K6" s="13" t="n"/>
      <c r="L6" s="13" t="n"/>
      <c r="M6" s="13" t="n"/>
      <c r="N6" s="13" t="n"/>
      <c r="O6" s="13" t="n"/>
      <c r="P6" s="13" t="n"/>
      <c r="Q6" s="13" t="n"/>
    </row>
    <row r="7">
      <c r="A7" s="15" t="inlineStr">
        <is>
          <t>S5-001</t>
        </is>
      </c>
      <c r="B7" s="15" t="inlineStr">
        <is>
          <t>A</t>
        </is>
      </c>
      <c r="C7" s="15" t="inlineStr">
        <is>
          <t>Compliance report</t>
        </is>
      </c>
      <c r="D7" s="15" t="inlineStr">
        <is>
          <t>Rules shown with clause, edition, value and verdict</t>
        </is>
      </c>
      <c r="E7" s="15" t="inlineStr">
        <is>
          <t>rules</t>
        </is>
      </c>
      <c r="F7" s="15" t="inlineStr">
        <is>
          <t>Book</t>
        </is>
      </c>
      <c r="G7" s="15" t="inlineStr">
        <is>
          <t>Rules in this workbook (Reference value = total)</t>
        </is>
      </c>
      <c r="H7" s="15" t="inlineStr">
        <is>
          <t>Same as correct answer</t>
        </is>
      </c>
      <c r="I7" s="16" t="n"/>
      <c r="J7" s="16" t="n"/>
      <c r="K7" s="16" t="n"/>
      <c r="L7" s="17">
        <f>IF(W7="","",W7)</f>
        <v/>
      </c>
      <c r="M7" s="18">
        <f>IF(O7&lt;&gt;"",O7,Y7)</f>
        <v/>
      </c>
      <c r="N7" s="16" t="n"/>
      <c r="O7" s="19" t="n"/>
      <c r="P7" s="19" t="n"/>
      <c r="Q7" s="19" t="n"/>
      <c r="R7" s="20" t="inlineStr">
        <is>
          <t>—</t>
        </is>
      </c>
      <c r="S7" s="20" t="inlineStr">
        <is>
          <t>NBC 2016</t>
        </is>
      </c>
      <c r="T7" s="20" t="inlineStr">
        <is>
          <t>Exact</t>
        </is>
      </c>
      <c r="U7" s="20" t="n"/>
      <c r="V7" s="20" t="n"/>
      <c r="W7" s="20">
        <f>IF(AND(ISNUMBER(I7),ISNUMBER(J7)),I7-J7,"")</f>
        <v/>
      </c>
      <c r="X7" s="20">
        <f>IF(AND(ISNUMBER(I7),ISNUMBER(J7)),IF(J7=0,"",(I7-J7)/ABS(J7)),"")</f>
        <v/>
      </c>
      <c r="Y7" s="20">
        <f>IF(T7="Advisory","No pass mark",IF(T7="Manual","Claude will check",IF(I7="","Not done yet",IF(T7="Exact",IF(AND(ISNUMBER(I7),ISNUMBER(J7)),IF(ROUND(I7,2)=ROUND(J7,2),"Pass","Fail"),IF(TRIM(LOWER(I7&amp;""))=TRIM(LOWER(J7&amp;"")),"Pass","Fail")),IF(T7="Min",IF(I7&gt;=U7-1E-9,"Pass","Fail"),IF(T7="Between",IF(AND(I7&gt;=U7,I7&lt;=V7),"Pass","Fail"),IF(J7="","Not done yet",IF(T7="±%",IF(X7="","Check correct answer",IF(ABS(X7)*100&lt;=V7+1E-9,"Pass","Fail")),IF(T7="% range",IF(X7="","Check correct answer",IF(AND(X7*100&gt;=U7-1E-9,X7*100&lt;=V7+1E-9),"Pass","Fail")),IF(T7="±abs",IF(ABS(W7)&lt;=V7+1E-9,"Pass","Fail"),"Check type"))))))))))</f>
        <v/>
      </c>
    </row>
    <row r="8">
      <c r="A8" s="15" t="inlineStr">
        <is>
          <t>S5-002</t>
        </is>
      </c>
      <c r="B8" s="15" t="inlineStr">
        <is>
          <t>A</t>
        </is>
      </c>
      <c r="C8" s="15" t="inlineStr">
        <is>
          <t>Compliance report</t>
        </is>
      </c>
      <c r="D8" s="15" t="inlineStr">
        <is>
          <t>RERA project P1: rules the app fails (each explained)
→ List each failed rule and its explanation</t>
        </is>
      </c>
      <c r="E8" s="15" t="inlineStr">
        <is>
          <t>rules</t>
        </is>
      </c>
      <c r="F8" s="15" t="inlineStr">
        <is>
          <t>Real</t>
        </is>
      </c>
      <c r="G8" s="15" t="inlineStr">
        <is>
          <t>Sanctioned project, so should pass</t>
        </is>
      </c>
      <c r="H8" s="15" t="inlineStr">
        <is>
          <t>Claude will check</t>
        </is>
      </c>
      <c r="I8" s="16" t="n"/>
      <c r="J8" s="16" t="n"/>
      <c r="K8" s="16" t="n"/>
      <c r="L8" s="17" t="n"/>
      <c r="M8" s="18">
        <f>IF(O8&lt;&gt;"",O8,Y8)</f>
        <v/>
      </c>
      <c r="N8" s="16" t="n"/>
      <c r="O8" s="19" t="n"/>
      <c r="P8" s="19" t="n"/>
      <c r="Q8" s="19" t="n"/>
      <c r="R8" s="20" t="inlineStr">
        <is>
          <t>—</t>
        </is>
      </c>
      <c r="S8" s="20" t="inlineStr">
        <is>
          <t>NBC 2016</t>
        </is>
      </c>
      <c r="T8" s="20" t="inlineStr">
        <is>
          <t>Manual</t>
        </is>
      </c>
      <c r="U8" s="20" t="n"/>
      <c r="V8" s="20" t="n"/>
      <c r="W8" s="20">
        <f>IF(AND(ISNUMBER(I8),ISNUMBER(J8)),I8-J8,"")</f>
        <v/>
      </c>
      <c r="X8" s="20">
        <f>IF(AND(ISNUMBER(I8),ISNUMBER(J8)),IF(J8=0,"",(I8-J8)/ABS(J8)),"")</f>
        <v/>
      </c>
      <c r="Y8" s="20">
        <f>IF(T8="Advisory","No pass mark",IF(T8="Manual","Claude will check",IF(I8="","Not done yet",IF(T8="Exact",IF(AND(ISNUMBER(I8),ISNUMBER(J8)),IF(ROUND(I8,2)=ROUND(J8,2),"Pass","Fail"),IF(TRIM(LOWER(I8&amp;""))=TRIM(LOWER(J8&amp;"")),"Pass","Fail")),IF(T8="Min",IF(I8&gt;=U8-1E-9,"Pass","Fail"),IF(T8="Between",IF(AND(I8&gt;=U8,I8&lt;=V8),"Pass","Fail"),IF(J8="","Not done yet",IF(T8="±%",IF(X8="","Check correct answer",IF(ABS(X8)*100&lt;=V8+1E-9,"Pass","Fail")),IF(T8="% range",IF(X8="","Check correct answer",IF(AND(X8*100&gt;=U8-1E-9,X8*100&lt;=V8+1E-9),"Pass","Fail")),IF(T8="±abs",IF(ABS(W8)&lt;=V8+1E-9,"Pass","Fail"),"Check type"))))))))))</f>
        <v/>
      </c>
    </row>
    <row r="9">
      <c r="A9" s="15" t="inlineStr">
        <is>
          <t>S5-003</t>
        </is>
      </c>
      <c r="B9" s="15" t="inlineStr">
        <is>
          <t>A</t>
        </is>
      </c>
      <c r="C9" s="15" t="inlineStr">
        <is>
          <t>Compliance report</t>
        </is>
      </c>
      <c r="D9" s="15" t="inlineStr">
        <is>
          <t>RERA project P2: rules the app fails (each explained)
→ List each failed rule and its explanation</t>
        </is>
      </c>
      <c r="E9" s="15" t="inlineStr">
        <is>
          <t>rules</t>
        </is>
      </c>
      <c r="F9" s="15" t="inlineStr">
        <is>
          <t>Real</t>
        </is>
      </c>
      <c r="G9" s="15" t="inlineStr">
        <is>
          <t>Sanctioned project, so should pass</t>
        </is>
      </c>
      <c r="H9" s="15" t="inlineStr">
        <is>
          <t>Claude will check</t>
        </is>
      </c>
      <c r="I9" s="16" t="n"/>
      <c r="J9" s="16" t="n"/>
      <c r="K9" s="16" t="n"/>
      <c r="L9" s="17" t="n"/>
      <c r="M9" s="18">
        <f>IF(O9&lt;&gt;"",O9,Y9)</f>
        <v/>
      </c>
      <c r="N9" s="16" t="n"/>
      <c r="O9" s="19" t="n"/>
      <c r="P9" s="19" t="n"/>
      <c r="Q9" s="19" t="n"/>
      <c r="R9" s="20" t="inlineStr">
        <is>
          <t>—</t>
        </is>
      </c>
      <c r="S9" s="20" t="inlineStr">
        <is>
          <t>NBC 2016</t>
        </is>
      </c>
      <c r="T9" s="20" t="inlineStr">
        <is>
          <t>Manual</t>
        </is>
      </c>
      <c r="U9" s="20" t="n"/>
      <c r="V9" s="20" t="n"/>
      <c r="W9" s="20">
        <f>IF(AND(ISNUMBER(I9),ISNUMBER(J9)),I9-J9,"")</f>
        <v/>
      </c>
      <c r="X9" s="20">
        <f>IF(AND(ISNUMBER(I9),ISNUMBER(J9)),IF(J9=0,"",(I9-J9)/ABS(J9)),"")</f>
        <v/>
      </c>
      <c r="Y9" s="20">
        <f>IF(T9="Advisory","No pass mark",IF(T9="Manual","Claude will check",IF(I9="","Not done yet",IF(T9="Exact",IF(AND(ISNUMBER(I9),ISNUMBER(J9)),IF(ROUND(I9,2)=ROUND(J9,2),"Pass","Fail"),IF(TRIM(LOWER(I9&amp;""))=TRIM(LOWER(J9&amp;"")),"Pass","Fail")),IF(T9="Min",IF(I9&gt;=U9-1E-9,"Pass","Fail"),IF(T9="Between",IF(AND(I9&gt;=U9,I9&lt;=V9),"Pass","Fail"),IF(J9="","Not done yet",IF(T9="±%",IF(X9="","Check correct answer",IF(ABS(X9)*100&lt;=V9+1E-9,"Pass","Fail")),IF(T9="% range",IF(X9="","Check correct answer",IF(AND(X9*100&gt;=U9-1E-9,X9*100&lt;=V9+1E-9),"Pass","Fail")),IF(T9="±abs",IF(ABS(W9)&lt;=V9+1E-9,"Pass","Fail"),"Check type"))))))))))</f>
        <v/>
      </c>
    </row>
    <row r="10">
      <c r="A10" s="15" t="inlineStr">
        <is>
          <t>S5-004</t>
        </is>
      </c>
      <c r="B10" s="15" t="inlineStr">
        <is>
          <t>A</t>
        </is>
      </c>
      <c r="C10" s="15" t="inlineStr">
        <is>
          <t>Compliance report</t>
        </is>
      </c>
      <c r="D10" s="15" t="inlineStr">
        <is>
          <t>RERA project P3: rules the app fails (each explained)
→ List each failed rule and its explanation</t>
        </is>
      </c>
      <c r="E10" s="15" t="inlineStr">
        <is>
          <t>rules</t>
        </is>
      </c>
      <c r="F10" s="15" t="inlineStr">
        <is>
          <t>Real</t>
        </is>
      </c>
      <c r="G10" s="15" t="inlineStr">
        <is>
          <t>Sanctioned project, so should pass</t>
        </is>
      </c>
      <c r="H10" s="15" t="inlineStr">
        <is>
          <t>Claude will check</t>
        </is>
      </c>
      <c r="I10" s="16" t="n"/>
      <c r="J10" s="16" t="n"/>
      <c r="K10" s="16" t="n"/>
      <c r="L10" s="17" t="n"/>
      <c r="M10" s="18">
        <f>IF(O10&lt;&gt;"",O10,Y10)</f>
        <v/>
      </c>
      <c r="N10" s="16" t="n"/>
      <c r="O10" s="19" t="n"/>
      <c r="P10" s="19" t="n"/>
      <c r="Q10" s="19" t="n"/>
      <c r="R10" s="20" t="inlineStr">
        <is>
          <t>—</t>
        </is>
      </c>
      <c r="S10" s="20" t="inlineStr">
        <is>
          <t>NBC 2016</t>
        </is>
      </c>
      <c r="T10" s="20" t="inlineStr">
        <is>
          <t>Manual</t>
        </is>
      </c>
      <c r="U10" s="20" t="n"/>
      <c r="V10" s="20" t="n"/>
      <c r="W10" s="20">
        <f>IF(AND(ISNUMBER(I10),ISNUMBER(J10)),I10-J10,"")</f>
        <v/>
      </c>
      <c r="X10" s="20">
        <f>IF(AND(ISNUMBER(I10),ISNUMBER(J10)),IF(J10=0,"",(I10-J10)/ABS(J10)),"")</f>
        <v/>
      </c>
      <c r="Y10" s="20">
        <f>IF(T10="Advisory","No pass mark",IF(T10="Manual","Claude will check",IF(I10="","Not done yet",IF(T10="Exact",IF(AND(ISNUMBER(I10),ISNUMBER(J10)),IF(ROUND(I10,2)=ROUND(J10,2),"Pass","Fail"),IF(TRIM(LOWER(I10&amp;""))=TRIM(LOWER(J10&amp;"")),"Pass","Fail")),IF(T10="Min",IF(I10&gt;=U10-1E-9,"Pass","Fail"),IF(T10="Between",IF(AND(I10&gt;=U10,I10&lt;=V10),"Pass","Fail"),IF(J10="","Not done yet",IF(T10="±%",IF(X10="","Check correct answer",IF(ABS(X10)*100&lt;=V10+1E-9,"Pass","Fail")),IF(T10="% range",IF(X10="","Check correct answer",IF(AND(X10*100&gt;=U10-1E-9,X10*100&lt;=V10+1E-9),"Pass","Fail")),IF(T10="±abs",IF(ABS(W10)&lt;=V10+1E-9,"Pass","Fail"),"Check type"))))))))))</f>
        <v/>
      </c>
    </row>
    <row r="11">
      <c r="A11" s="15" t="inlineStr">
        <is>
          <t>S5-005</t>
        </is>
      </c>
      <c r="B11" s="15" t="inlineStr">
        <is>
          <t>A</t>
        </is>
      </c>
      <c r="C11" s="15" t="inlineStr">
        <is>
          <t>Compliance report</t>
        </is>
      </c>
      <c r="D11" s="15" t="inlineStr">
        <is>
          <t>RERA project P4: rules the app fails (each explained)
→ List each failed rule and its explanation</t>
        </is>
      </c>
      <c r="E11" s="15" t="inlineStr">
        <is>
          <t>rules</t>
        </is>
      </c>
      <c r="F11" s="15" t="inlineStr">
        <is>
          <t>Real</t>
        </is>
      </c>
      <c r="G11" s="15" t="inlineStr">
        <is>
          <t>Sanctioned project, so should pass</t>
        </is>
      </c>
      <c r="H11" s="15" t="inlineStr">
        <is>
          <t>Claude will check</t>
        </is>
      </c>
      <c r="I11" s="16" t="n"/>
      <c r="J11" s="16" t="n"/>
      <c r="K11" s="16" t="n"/>
      <c r="L11" s="17" t="n"/>
      <c r="M11" s="18">
        <f>IF(O11&lt;&gt;"",O11,Y11)</f>
        <v/>
      </c>
      <c r="N11" s="16" t="n"/>
      <c r="O11" s="19" t="n"/>
      <c r="P11" s="19" t="n"/>
      <c r="Q11" s="19" t="n"/>
      <c r="R11" s="20" t="inlineStr">
        <is>
          <t>—</t>
        </is>
      </c>
      <c r="S11" s="20" t="inlineStr">
        <is>
          <t>NBC 2016</t>
        </is>
      </c>
      <c r="T11" s="20" t="inlineStr">
        <is>
          <t>Manual</t>
        </is>
      </c>
      <c r="U11" s="20" t="n"/>
      <c r="V11" s="20" t="n"/>
      <c r="W11" s="20">
        <f>IF(AND(ISNUMBER(I11),ISNUMBER(J11)),I11-J11,"")</f>
        <v/>
      </c>
      <c r="X11" s="20">
        <f>IF(AND(ISNUMBER(I11),ISNUMBER(J11)),IF(J11=0,"",(I11-J11)/ABS(J11)),"")</f>
        <v/>
      </c>
      <c r="Y11" s="20">
        <f>IF(T11="Advisory","No pass mark",IF(T11="Manual","Claude will check",IF(I11="","Not done yet",IF(T11="Exact",IF(AND(ISNUMBER(I11),ISNUMBER(J11)),IF(ROUND(I11,2)=ROUND(J11,2),"Pass","Fail"),IF(TRIM(LOWER(I11&amp;""))=TRIM(LOWER(J11&amp;"")),"Pass","Fail")),IF(T11="Min",IF(I11&gt;=U11-1E-9,"Pass","Fail"),IF(T11="Between",IF(AND(I11&gt;=U11,I11&lt;=V11),"Pass","Fail"),IF(J11="","Not done yet",IF(T11="±%",IF(X11="","Check correct answer",IF(ABS(X11)*100&lt;=V11+1E-9,"Pass","Fail")),IF(T11="% range",IF(X11="","Check correct answer",IF(AND(X11*100&gt;=U11-1E-9,X11*100&lt;=V11+1E-9),"Pass","Fail")),IF(T11="±abs",IF(ABS(W11)&lt;=V11+1E-9,"Pass","Fail"),"Check type"))))))))))</f>
        <v/>
      </c>
    </row>
    <row r="12">
      <c r="A12" s="15" t="inlineStr">
        <is>
          <t>S5-006</t>
        </is>
      </c>
      <c r="B12" s="15" t="inlineStr">
        <is>
          <t>A</t>
        </is>
      </c>
      <c r="C12" s="15" t="inlineStr">
        <is>
          <t>Compliance report</t>
        </is>
      </c>
      <c r="D12" s="15" t="inlineStr">
        <is>
          <t>RERA project P5: rules the app fails (each explained)
→ List each failed rule and its explanation</t>
        </is>
      </c>
      <c r="E12" s="15" t="inlineStr">
        <is>
          <t>rules</t>
        </is>
      </c>
      <c r="F12" s="15" t="inlineStr">
        <is>
          <t>Real</t>
        </is>
      </c>
      <c r="G12" s="15" t="inlineStr">
        <is>
          <t>Sanctioned project, so should pass</t>
        </is>
      </c>
      <c r="H12" s="15" t="inlineStr">
        <is>
          <t>Claude will check</t>
        </is>
      </c>
      <c r="I12" s="16" t="n"/>
      <c r="J12" s="16" t="n"/>
      <c r="K12" s="16" t="n"/>
      <c r="L12" s="17" t="n"/>
      <c r="M12" s="18">
        <f>IF(O12&lt;&gt;"",O12,Y12)</f>
        <v/>
      </c>
      <c r="N12" s="16" t="n"/>
      <c r="O12" s="19" t="n"/>
      <c r="P12" s="19" t="n"/>
      <c r="Q12" s="19" t="n"/>
      <c r="R12" s="20" t="inlineStr">
        <is>
          <t>—</t>
        </is>
      </c>
      <c r="S12" s="20" t="inlineStr">
        <is>
          <t>NBC 2016</t>
        </is>
      </c>
      <c r="T12" s="20" t="inlineStr">
        <is>
          <t>Manual</t>
        </is>
      </c>
      <c r="U12" s="20" t="n"/>
      <c r="V12" s="20" t="n"/>
      <c r="W12" s="20">
        <f>IF(AND(ISNUMBER(I12),ISNUMBER(J12)),I12-J12,"")</f>
        <v/>
      </c>
      <c r="X12" s="20">
        <f>IF(AND(ISNUMBER(I12),ISNUMBER(J12)),IF(J12=0,"",(I12-J12)/ABS(J12)),"")</f>
        <v/>
      </c>
      <c r="Y12" s="20">
        <f>IF(T12="Advisory","No pass mark",IF(T12="Manual","Claude will check",IF(I12="","Not done yet",IF(T12="Exact",IF(AND(ISNUMBER(I12),ISNUMBER(J12)),IF(ROUND(I12,2)=ROUND(J12,2),"Pass","Fail"),IF(TRIM(LOWER(I12&amp;""))=TRIM(LOWER(J12&amp;"")),"Pass","Fail")),IF(T12="Min",IF(I12&gt;=U12-1E-9,"Pass","Fail"),IF(T12="Between",IF(AND(I12&gt;=U12,I12&lt;=V12),"Pass","Fail"),IF(J12="","Not done yet",IF(T12="±%",IF(X12="","Check correct answer",IF(ABS(X12)*100&lt;=V12+1E-9,"Pass","Fail")),IF(T12="% range",IF(X12="","Check correct answer",IF(AND(X12*100&gt;=U12-1E-9,X12*100&lt;=V12+1E-9),"Pass","Fail")),IF(T12="±abs",IF(ABS(W12)&lt;=V12+1E-9,"Pass","Fail"),"Check type"))))))))))</f>
        <v/>
      </c>
    </row>
    <row r="13">
      <c r="A13" s="21" t="n"/>
      <c r="B13" s="22" t="inlineStr">
        <is>
          <t>B's tests (13)</t>
        </is>
      </c>
      <c r="C13" s="21" t="n"/>
      <c r="D13" s="21" t="n"/>
      <c r="E13" s="21" t="n"/>
      <c r="F13" s="21" t="n"/>
      <c r="G13" s="21" t="n"/>
      <c r="H13" s="21" t="n"/>
      <c r="I13" s="21" t="n"/>
      <c r="J13" s="21" t="n"/>
      <c r="K13" s="21" t="n"/>
      <c r="L13" s="21" t="n"/>
      <c r="M13" s="21" t="n"/>
      <c r="N13" s="21" t="n"/>
      <c r="O13" s="21" t="n"/>
      <c r="P13" s="21" t="n"/>
      <c r="Q13" s="21" t="n"/>
    </row>
    <row r="14">
      <c r="A14" s="15" t="inlineStr">
        <is>
          <t>S5-007</t>
        </is>
      </c>
      <c r="B14" s="15" t="inlineStr">
        <is>
          <t>B</t>
        </is>
      </c>
      <c r="C14" s="15" t="inlineStr">
        <is>
          <t>Data-health report</t>
        </is>
      </c>
      <c r="D14" s="15" t="inlineStr">
        <is>
          <t>Missing road width: flagged?</t>
        </is>
      </c>
      <c r="E14" s="15" t="inlineStr">
        <is>
          <t>Flagged/Not</t>
        </is>
      </c>
      <c r="F14" s="15" t="inlineStr">
        <is>
          <t>Book</t>
        </is>
      </c>
      <c r="G14" s="15" t="inlineStr">
        <is>
          <t>Deliberately bad input</t>
        </is>
      </c>
      <c r="H14" s="15" t="inlineStr">
        <is>
          <t>Same as correct answer</t>
        </is>
      </c>
      <c r="I14" s="16" t="n"/>
      <c r="J14" s="16" t="inlineStr">
        <is>
          <t>Flagged</t>
        </is>
      </c>
      <c r="K14" s="16" t="n"/>
      <c r="L14" s="17">
        <f>IF(W14="","",W14)</f>
        <v/>
      </c>
      <c r="M14" s="18">
        <f>IF(O14&lt;&gt;"",O14,Y14)</f>
        <v/>
      </c>
      <c r="N14" s="16" t="n"/>
      <c r="O14" s="19" t="n"/>
      <c r="P14" s="19" t="n"/>
      <c r="Q14" s="19" t="n"/>
      <c r="R14" s="20" t="inlineStr">
        <is>
          <t>—</t>
        </is>
      </c>
      <c r="S14" s="20" t="inlineStr">
        <is>
          <t>n/a</t>
        </is>
      </c>
      <c r="T14" s="20" t="inlineStr">
        <is>
          <t>Exact</t>
        </is>
      </c>
      <c r="U14" s="20" t="n"/>
      <c r="V14" s="20" t="n"/>
      <c r="W14" s="20">
        <f>IF(AND(ISNUMBER(I14),ISNUMBER(J14)),I14-J14,"")</f>
        <v/>
      </c>
      <c r="X14" s="20">
        <f>IF(AND(ISNUMBER(I14),ISNUMBER(J14)),IF(J14=0,"",(I14-J14)/ABS(J14)),"")</f>
        <v/>
      </c>
      <c r="Y14" s="20">
        <f>IF(T14="Advisory","No pass mark",IF(T14="Manual","Claude will check",IF(I14="","Not done yet",IF(T14="Exact",IF(AND(ISNUMBER(I14),ISNUMBER(J14)),IF(ROUND(I14,2)=ROUND(J14,2),"Pass","Fail"),IF(TRIM(LOWER(I14&amp;""))=TRIM(LOWER(J14&amp;"")),"Pass","Fail")),IF(T14="Min",IF(I14&gt;=U14-1E-9,"Pass","Fail"),IF(T14="Between",IF(AND(I14&gt;=U14,I14&lt;=V14),"Pass","Fail"),IF(J14="","Not done yet",IF(T14="±%",IF(X14="","Check correct answer",IF(ABS(X14)*100&lt;=V14+1E-9,"Pass","Fail")),IF(T14="% range",IF(X14="","Check correct answer",IF(AND(X14*100&gt;=U14-1E-9,X14*100&lt;=V14+1E-9),"Pass","Fail")),IF(T14="±abs",IF(ABS(W14)&lt;=V14+1E-9,"Pass","Fail"),"Check type"))))))))))</f>
        <v/>
      </c>
    </row>
    <row r="15">
      <c r="A15" s="15" t="inlineStr">
        <is>
          <t>S5-008</t>
        </is>
      </c>
      <c r="B15" s="15" t="inlineStr">
        <is>
          <t>B</t>
        </is>
      </c>
      <c r="C15" s="15" t="inlineStr">
        <is>
          <t>Data-health report</t>
        </is>
      </c>
      <c r="D15" s="15" t="inlineStr">
        <is>
          <t>Old map data: flagged?</t>
        </is>
      </c>
      <c r="E15" s="15" t="inlineStr">
        <is>
          <t>Flagged/Not</t>
        </is>
      </c>
      <c r="F15" s="15" t="inlineStr">
        <is>
          <t>Book</t>
        </is>
      </c>
      <c r="G15" s="15" t="inlineStr">
        <is>
          <t>Deliberately bad input</t>
        </is>
      </c>
      <c r="H15" s="15" t="inlineStr">
        <is>
          <t>Same as correct answer</t>
        </is>
      </c>
      <c r="I15" s="16" t="n"/>
      <c r="J15" s="16" t="inlineStr">
        <is>
          <t>Flagged</t>
        </is>
      </c>
      <c r="K15" s="16" t="n"/>
      <c r="L15" s="17">
        <f>IF(W15="","",W15)</f>
        <v/>
      </c>
      <c r="M15" s="18">
        <f>IF(O15&lt;&gt;"",O15,Y15)</f>
        <v/>
      </c>
      <c r="N15" s="16" t="n"/>
      <c r="O15" s="19" t="n"/>
      <c r="P15" s="19" t="n"/>
      <c r="Q15" s="19" t="n"/>
      <c r="R15" s="20" t="inlineStr">
        <is>
          <t>—</t>
        </is>
      </c>
      <c r="S15" s="20" t="inlineStr">
        <is>
          <t>n/a</t>
        </is>
      </c>
      <c r="T15" s="20" t="inlineStr">
        <is>
          <t>Exact</t>
        </is>
      </c>
      <c r="U15" s="20" t="n"/>
      <c r="V15" s="20" t="n"/>
      <c r="W15" s="20">
        <f>IF(AND(ISNUMBER(I15),ISNUMBER(J15)),I15-J15,"")</f>
        <v/>
      </c>
      <c r="X15" s="20">
        <f>IF(AND(ISNUMBER(I15),ISNUMBER(J15)),IF(J15=0,"",(I15-J15)/ABS(J15)),"")</f>
        <v/>
      </c>
      <c r="Y15" s="20">
        <f>IF(T15="Advisory","No pass mark",IF(T15="Manual","Claude will check",IF(I15="","Not done yet",IF(T15="Exact",IF(AND(ISNUMBER(I15),ISNUMBER(J15)),IF(ROUND(I15,2)=ROUND(J15,2),"Pass","Fail"),IF(TRIM(LOWER(I15&amp;""))=TRIM(LOWER(J15&amp;"")),"Pass","Fail")),IF(T15="Min",IF(I15&gt;=U15-1E-9,"Pass","Fail"),IF(T15="Between",IF(AND(I15&gt;=U15,I15&lt;=V15),"Pass","Fail"),IF(J15="","Not done yet",IF(T15="±%",IF(X15="","Check correct answer",IF(ABS(X15)*100&lt;=V15+1E-9,"Pass","Fail")),IF(T15="% range",IF(X15="","Check correct answer",IF(AND(X15*100&gt;=U15-1E-9,X15*100&lt;=V15+1E-9),"Pass","Fail")),IF(T15="±abs",IF(ABS(W15)&lt;=V15+1E-9,"Pass","Fail"),"Check type"))))))))))</f>
        <v/>
      </c>
    </row>
    <row r="16">
      <c r="A16" s="15" t="inlineStr">
        <is>
          <t>S5-009</t>
        </is>
      </c>
      <c r="B16" s="15" t="inlineStr">
        <is>
          <t>B</t>
        </is>
      </c>
      <c r="C16" s="15" t="inlineStr">
        <is>
          <t>Data-health report</t>
        </is>
      </c>
      <c r="D16" s="15" t="inlineStr">
        <is>
          <t>Bad input 3 (team's choice): flagged?</t>
        </is>
      </c>
      <c r="E16" s="15" t="inlineStr">
        <is>
          <t>Flagged/Not</t>
        </is>
      </c>
      <c r="F16" s="15" t="inlineStr">
        <is>
          <t>Book</t>
        </is>
      </c>
      <c r="G16" s="15" t="inlineStr">
        <is>
          <t>Deliberately bad input</t>
        </is>
      </c>
      <c r="H16" s="15" t="inlineStr">
        <is>
          <t>Same as correct answer</t>
        </is>
      </c>
      <c r="I16" s="16" t="n"/>
      <c r="J16" s="16" t="inlineStr">
        <is>
          <t>Flagged</t>
        </is>
      </c>
      <c r="K16" s="16" t="n"/>
      <c r="L16" s="17">
        <f>IF(W16="","",W16)</f>
        <v/>
      </c>
      <c r="M16" s="18">
        <f>IF(O16&lt;&gt;"",O16,Y16)</f>
        <v/>
      </c>
      <c r="N16" s="16" t="n"/>
      <c r="O16" s="19" t="n"/>
      <c r="P16" s="19" t="n"/>
      <c r="Q16" s="19" t="n"/>
      <c r="R16" s="20" t="inlineStr">
        <is>
          <t>—</t>
        </is>
      </c>
      <c r="S16" s="20" t="inlineStr">
        <is>
          <t>n/a</t>
        </is>
      </c>
      <c r="T16" s="20" t="inlineStr">
        <is>
          <t>Exact</t>
        </is>
      </c>
      <c r="U16" s="20" t="n"/>
      <c r="V16" s="20" t="n"/>
      <c r="W16" s="20">
        <f>IF(AND(ISNUMBER(I16),ISNUMBER(J16)),I16-J16,"")</f>
        <v/>
      </c>
      <c r="X16" s="20">
        <f>IF(AND(ISNUMBER(I16),ISNUMBER(J16)),IF(J16=0,"",(I16-J16)/ABS(J16)),"")</f>
        <v/>
      </c>
      <c r="Y16" s="20">
        <f>IF(T16="Advisory","No pass mark",IF(T16="Manual","Claude will check",IF(I16="","Not done yet",IF(T16="Exact",IF(AND(ISNUMBER(I16),ISNUMBER(J16)),IF(ROUND(I16,2)=ROUND(J16,2),"Pass","Fail"),IF(TRIM(LOWER(I16&amp;""))=TRIM(LOWER(J16&amp;"")),"Pass","Fail")),IF(T16="Min",IF(I16&gt;=U16-1E-9,"Pass","Fail"),IF(T16="Between",IF(AND(I16&gt;=U16,I16&lt;=V16),"Pass","Fail"),IF(J16="","Not done yet",IF(T16="±%",IF(X16="","Check correct answer",IF(ABS(X16)*100&lt;=V16+1E-9,"Pass","Fail")),IF(T16="% range",IF(X16="","Check correct answer",IF(AND(X16*100&gt;=U16-1E-9,X16*100&lt;=V16+1E-9),"Pass","Fail")),IF(T16="±abs",IF(ABS(W16)&lt;=V16+1E-9,"Pass","Fail"),"Check type"))))))))))</f>
        <v/>
      </c>
    </row>
    <row r="17">
      <c r="A17" s="15" t="inlineStr">
        <is>
          <t>S5-010</t>
        </is>
      </c>
      <c r="B17" s="15" t="inlineStr">
        <is>
          <t>B</t>
        </is>
      </c>
      <c r="C17" s="15" t="inlineStr">
        <is>
          <t>Data-health report</t>
        </is>
      </c>
      <c r="D17" s="15" t="inlineStr">
        <is>
          <t>Bad input 4 (team's choice): flagged?</t>
        </is>
      </c>
      <c r="E17" s="15" t="inlineStr">
        <is>
          <t>Flagged/Not</t>
        </is>
      </c>
      <c r="F17" s="15" t="inlineStr">
        <is>
          <t>Book</t>
        </is>
      </c>
      <c r="G17" s="15" t="inlineStr">
        <is>
          <t>Deliberately bad input</t>
        </is>
      </c>
      <c r="H17" s="15" t="inlineStr">
        <is>
          <t>Same as correct answer</t>
        </is>
      </c>
      <c r="I17" s="16" t="n"/>
      <c r="J17" s="16" t="inlineStr">
        <is>
          <t>Flagged</t>
        </is>
      </c>
      <c r="K17" s="16" t="n"/>
      <c r="L17" s="17">
        <f>IF(W17="","",W17)</f>
        <v/>
      </c>
      <c r="M17" s="18">
        <f>IF(O17&lt;&gt;"",O17,Y17)</f>
        <v/>
      </c>
      <c r="N17" s="16" t="n"/>
      <c r="O17" s="19" t="n"/>
      <c r="P17" s="19" t="n"/>
      <c r="Q17" s="19" t="n"/>
      <c r="R17" s="20" t="inlineStr">
        <is>
          <t>—</t>
        </is>
      </c>
      <c r="S17" s="20" t="inlineStr">
        <is>
          <t>n/a</t>
        </is>
      </c>
      <c r="T17" s="20" t="inlineStr">
        <is>
          <t>Exact</t>
        </is>
      </c>
      <c r="U17" s="20" t="n"/>
      <c r="V17" s="20" t="n"/>
      <c r="W17" s="20">
        <f>IF(AND(ISNUMBER(I17),ISNUMBER(J17)),I17-J17,"")</f>
        <v/>
      </c>
      <c r="X17" s="20">
        <f>IF(AND(ISNUMBER(I17),ISNUMBER(J17)),IF(J17=0,"",(I17-J17)/ABS(J17)),"")</f>
        <v/>
      </c>
      <c r="Y17" s="20">
        <f>IF(T17="Advisory","No pass mark",IF(T17="Manual","Claude will check",IF(I17="","Not done yet",IF(T17="Exact",IF(AND(ISNUMBER(I17),ISNUMBER(J17)),IF(ROUND(I17,2)=ROUND(J17,2),"Pass","Fail"),IF(TRIM(LOWER(I17&amp;""))=TRIM(LOWER(J17&amp;"")),"Pass","Fail")),IF(T17="Min",IF(I17&gt;=U17-1E-9,"Pass","Fail"),IF(T17="Between",IF(AND(I17&gt;=U17,I17&lt;=V17),"Pass","Fail"),IF(J17="","Not done yet",IF(T17="±%",IF(X17="","Check correct answer",IF(ABS(X17)*100&lt;=V17+1E-9,"Pass","Fail")),IF(T17="% range",IF(X17="","Check correct answer",IF(AND(X17*100&gt;=U17-1E-9,X17*100&lt;=V17+1E-9),"Pass","Fail")),IF(T17="±abs",IF(ABS(W17)&lt;=V17+1E-9,"Pass","Fail"),"Check type"))))))))))</f>
        <v/>
      </c>
    </row>
    <row r="18">
      <c r="A18" s="15" t="inlineStr">
        <is>
          <t>S5-011</t>
        </is>
      </c>
      <c r="B18" s="15" t="inlineStr">
        <is>
          <t>B</t>
        </is>
      </c>
      <c r="C18" s="15" t="inlineStr">
        <is>
          <t>Exports</t>
        </is>
      </c>
      <c r="D18" s="15" t="inlineStr">
        <is>
          <t>Project X1: numbers changed in PDF vs saved copy</t>
        </is>
      </c>
      <c r="E18" s="15" t="inlineStr">
        <is>
          <t>count</t>
        </is>
      </c>
      <c r="F18" s="15" t="inlineStr">
        <is>
          <t>Book</t>
        </is>
      </c>
      <c r="G18" s="15" t="inlineStr">
        <is>
          <t>Saved export from Stage 2</t>
        </is>
      </c>
      <c r="H18" s="15" t="inlineStr">
        <is>
          <t>Same as correct answer</t>
        </is>
      </c>
      <c r="I18" s="16" t="n"/>
      <c r="J18" s="16" t="n">
        <v>0</v>
      </c>
      <c r="K18" s="16" t="n"/>
      <c r="L18" s="17">
        <f>IF(W18="","",W18)</f>
        <v/>
      </c>
      <c r="M18" s="18">
        <f>IF(O18&lt;&gt;"",O18,Y18)</f>
        <v/>
      </c>
      <c r="N18" s="16" t="n"/>
      <c r="O18" s="19" t="n"/>
      <c r="P18" s="19" t="n"/>
      <c r="Q18" s="19" t="n"/>
      <c r="R18" s="20" t="inlineStr">
        <is>
          <t>—</t>
        </is>
      </c>
      <c r="S18" s="20" t="inlineStr">
        <is>
          <t>n/a</t>
        </is>
      </c>
      <c r="T18" s="20" t="inlineStr">
        <is>
          <t>Exact</t>
        </is>
      </c>
      <c r="U18" s="20" t="n"/>
      <c r="V18" s="20" t="n"/>
      <c r="W18" s="20">
        <f>IF(AND(ISNUMBER(I18),ISNUMBER(J18)),I18-J18,"")</f>
        <v/>
      </c>
      <c r="X18" s="20">
        <f>IF(AND(ISNUMBER(I18),ISNUMBER(J18)),IF(J18=0,"",(I18-J18)/ABS(J18)),"")</f>
        <v/>
      </c>
      <c r="Y18" s="20">
        <f>IF(T18="Advisory","No pass mark",IF(T18="Manual","Claude will check",IF(I18="","Not done yet",IF(T18="Exact",IF(AND(ISNUMBER(I18),ISNUMBER(J18)),IF(ROUND(I18,2)=ROUND(J18,2),"Pass","Fail"),IF(TRIM(LOWER(I18&amp;""))=TRIM(LOWER(J18&amp;"")),"Pass","Fail")),IF(T18="Min",IF(I18&gt;=U18-1E-9,"Pass","Fail"),IF(T18="Between",IF(AND(I18&gt;=U18,I18&lt;=V18),"Pass","Fail"),IF(J18="","Not done yet",IF(T18="±%",IF(X18="","Check correct answer",IF(ABS(X18)*100&lt;=V18+1E-9,"Pass","Fail")),IF(T18="% range",IF(X18="","Check correct answer",IF(AND(X18*100&gt;=U18-1E-9,X18*100&lt;=V18+1E-9),"Pass","Fail")),IF(T18="±abs",IF(ABS(W18)&lt;=V18+1E-9,"Pass","Fail"),"Check type"))))))))))</f>
        <v/>
      </c>
    </row>
    <row r="19">
      <c r="A19" s="15" t="inlineStr">
        <is>
          <t>S5-012</t>
        </is>
      </c>
      <c r="B19" s="15" t="inlineStr">
        <is>
          <t>B</t>
        </is>
      </c>
      <c r="C19" s="15" t="inlineStr">
        <is>
          <t>Exports</t>
        </is>
      </c>
      <c r="D19" s="15" t="inlineStr">
        <is>
          <t>Project X1: numbers changed in Excel vs saved copy</t>
        </is>
      </c>
      <c r="E19" s="15" t="inlineStr">
        <is>
          <t>count</t>
        </is>
      </c>
      <c r="F19" s="15" t="inlineStr">
        <is>
          <t>Book</t>
        </is>
      </c>
      <c r="G19" s="15" t="inlineStr">
        <is>
          <t>Saved export from Stage 2</t>
        </is>
      </c>
      <c r="H19" s="15" t="inlineStr">
        <is>
          <t>Same as correct answer</t>
        </is>
      </c>
      <c r="I19" s="16" t="n"/>
      <c r="J19" s="16" t="n">
        <v>0</v>
      </c>
      <c r="K19" s="16" t="n"/>
      <c r="L19" s="17">
        <f>IF(W19="","",W19)</f>
        <v/>
      </c>
      <c r="M19" s="18">
        <f>IF(O19&lt;&gt;"",O19,Y19)</f>
        <v/>
      </c>
      <c r="N19" s="16" t="n"/>
      <c r="O19" s="19" t="n"/>
      <c r="P19" s="19" t="n"/>
      <c r="Q19" s="19" t="n"/>
      <c r="R19" s="20" t="inlineStr">
        <is>
          <t>—</t>
        </is>
      </c>
      <c r="S19" s="20" t="inlineStr">
        <is>
          <t>n/a</t>
        </is>
      </c>
      <c r="T19" s="20" t="inlineStr">
        <is>
          <t>Exact</t>
        </is>
      </c>
      <c r="U19" s="20" t="n"/>
      <c r="V19" s="20" t="n"/>
      <c r="W19" s="20">
        <f>IF(AND(ISNUMBER(I19),ISNUMBER(J19)),I19-J19,"")</f>
        <v/>
      </c>
      <c r="X19" s="20">
        <f>IF(AND(ISNUMBER(I19),ISNUMBER(J19)),IF(J19=0,"",(I19-J19)/ABS(J19)),"")</f>
        <v/>
      </c>
      <c r="Y19" s="20">
        <f>IF(T19="Advisory","No pass mark",IF(T19="Manual","Claude will check",IF(I19="","Not done yet",IF(T19="Exact",IF(AND(ISNUMBER(I19),ISNUMBER(J19)),IF(ROUND(I19,2)=ROUND(J19,2),"Pass","Fail"),IF(TRIM(LOWER(I19&amp;""))=TRIM(LOWER(J19&amp;"")),"Pass","Fail")),IF(T19="Min",IF(I19&gt;=U19-1E-9,"Pass","Fail"),IF(T19="Between",IF(AND(I19&gt;=U19,I19&lt;=V19),"Pass","Fail"),IF(J19="","Not done yet",IF(T19="±%",IF(X19="","Check correct answer",IF(ABS(X19)*100&lt;=V19+1E-9,"Pass","Fail")),IF(T19="% range",IF(X19="","Check correct answer",IF(AND(X19*100&gt;=U19-1E-9,X19*100&lt;=V19+1E-9),"Pass","Fail")),IF(T19="±abs",IF(ABS(W19)&lt;=V19+1E-9,"Pass","Fail"),"Check type"))))))))))</f>
        <v/>
      </c>
    </row>
    <row r="20">
      <c r="A20" s="15" t="inlineStr">
        <is>
          <t>S5-013</t>
        </is>
      </c>
      <c r="B20" s="15" t="inlineStr">
        <is>
          <t>B</t>
        </is>
      </c>
      <c r="C20" s="15" t="inlineStr">
        <is>
          <t>Exports</t>
        </is>
      </c>
      <c r="D20" s="15" t="inlineStr">
        <is>
          <t>Project X1: numbers changed in DXF vs saved copy</t>
        </is>
      </c>
      <c r="E20" s="15" t="inlineStr">
        <is>
          <t>count</t>
        </is>
      </c>
      <c r="F20" s="15" t="inlineStr">
        <is>
          <t>Book</t>
        </is>
      </c>
      <c r="G20" s="15" t="inlineStr">
        <is>
          <t>Saved export from Stage 2</t>
        </is>
      </c>
      <c r="H20" s="15" t="inlineStr">
        <is>
          <t>Same as correct answer</t>
        </is>
      </c>
      <c r="I20" s="16" t="n"/>
      <c r="J20" s="16" t="n">
        <v>0</v>
      </c>
      <c r="K20" s="16" t="n"/>
      <c r="L20" s="17">
        <f>IF(W20="","",W20)</f>
        <v/>
      </c>
      <c r="M20" s="18">
        <f>IF(O20&lt;&gt;"",O20,Y20)</f>
        <v/>
      </c>
      <c r="N20" s="16" t="n"/>
      <c r="O20" s="19" t="n"/>
      <c r="P20" s="19" t="n"/>
      <c r="Q20" s="19" t="n"/>
      <c r="R20" s="20" t="inlineStr">
        <is>
          <t>—</t>
        </is>
      </c>
      <c r="S20" s="20" t="inlineStr">
        <is>
          <t>n/a</t>
        </is>
      </c>
      <c r="T20" s="20" t="inlineStr">
        <is>
          <t>Exact</t>
        </is>
      </c>
      <c r="U20" s="20" t="n"/>
      <c r="V20" s="20" t="n"/>
      <c r="W20" s="20">
        <f>IF(AND(ISNUMBER(I20),ISNUMBER(J20)),I20-J20,"")</f>
        <v/>
      </c>
      <c r="X20" s="20">
        <f>IF(AND(ISNUMBER(I20),ISNUMBER(J20)),IF(J20=0,"",(I20-J20)/ABS(J20)),"")</f>
        <v/>
      </c>
      <c r="Y20" s="20">
        <f>IF(T20="Advisory","No pass mark",IF(T20="Manual","Claude will check",IF(I20="","Not done yet",IF(T20="Exact",IF(AND(ISNUMBER(I20),ISNUMBER(J20)),IF(ROUND(I20,2)=ROUND(J20,2),"Pass","Fail"),IF(TRIM(LOWER(I20&amp;""))=TRIM(LOWER(J20&amp;"")),"Pass","Fail")),IF(T20="Min",IF(I20&gt;=U20-1E-9,"Pass","Fail"),IF(T20="Between",IF(AND(I20&gt;=U20,I20&lt;=V20),"Pass","Fail"),IF(J20="","Not done yet",IF(T20="±%",IF(X20="","Check correct answer",IF(ABS(X20)*100&lt;=V20+1E-9,"Pass","Fail")),IF(T20="% range",IF(X20="","Check correct answer",IF(AND(X20*100&gt;=U20-1E-9,X20*100&lt;=V20+1E-9),"Pass","Fail")),IF(T20="±abs",IF(ABS(W20)&lt;=V20+1E-9,"Pass","Fail"),"Check type"))))))))))</f>
        <v/>
      </c>
    </row>
    <row r="21">
      <c r="A21" s="15" t="inlineStr">
        <is>
          <t>S5-014</t>
        </is>
      </c>
      <c r="B21" s="15" t="inlineStr">
        <is>
          <t>B</t>
        </is>
      </c>
      <c r="C21" s="15" t="inlineStr">
        <is>
          <t>Exports</t>
        </is>
      </c>
      <c r="D21" s="15" t="inlineStr">
        <is>
          <t>Project X2: numbers changed in PDF vs saved copy</t>
        </is>
      </c>
      <c r="E21" s="15" t="inlineStr">
        <is>
          <t>count</t>
        </is>
      </c>
      <c r="F21" s="15" t="inlineStr">
        <is>
          <t>Book</t>
        </is>
      </c>
      <c r="G21" s="15" t="inlineStr">
        <is>
          <t>Saved export from Stage 2</t>
        </is>
      </c>
      <c r="H21" s="15" t="inlineStr">
        <is>
          <t>Same as correct answer</t>
        </is>
      </c>
      <c r="I21" s="16" t="n"/>
      <c r="J21" s="16" t="n">
        <v>0</v>
      </c>
      <c r="K21" s="16" t="n"/>
      <c r="L21" s="17">
        <f>IF(W21="","",W21)</f>
        <v/>
      </c>
      <c r="M21" s="18">
        <f>IF(O21&lt;&gt;"",O21,Y21)</f>
        <v/>
      </c>
      <c r="N21" s="16" t="n"/>
      <c r="O21" s="19" t="n"/>
      <c r="P21" s="19" t="n"/>
      <c r="Q21" s="19" t="n"/>
      <c r="R21" s="20" t="inlineStr">
        <is>
          <t>—</t>
        </is>
      </c>
      <c r="S21" s="20" t="inlineStr">
        <is>
          <t>n/a</t>
        </is>
      </c>
      <c r="T21" s="20" t="inlineStr">
        <is>
          <t>Exact</t>
        </is>
      </c>
      <c r="U21" s="20" t="n"/>
      <c r="V21" s="20" t="n"/>
      <c r="W21" s="20">
        <f>IF(AND(ISNUMBER(I21),ISNUMBER(J21)),I21-J21,"")</f>
        <v/>
      </c>
      <c r="X21" s="20">
        <f>IF(AND(ISNUMBER(I21),ISNUMBER(J21)),IF(J21=0,"",(I21-J21)/ABS(J21)),"")</f>
        <v/>
      </c>
      <c r="Y21" s="20">
        <f>IF(T21="Advisory","No pass mark",IF(T21="Manual","Claude will check",IF(I21="","Not done yet",IF(T21="Exact",IF(AND(ISNUMBER(I21),ISNUMBER(J21)),IF(ROUND(I21,2)=ROUND(J21,2),"Pass","Fail"),IF(TRIM(LOWER(I21&amp;""))=TRIM(LOWER(J21&amp;"")),"Pass","Fail")),IF(T21="Min",IF(I21&gt;=U21-1E-9,"Pass","Fail"),IF(T21="Between",IF(AND(I21&gt;=U21,I21&lt;=V21),"Pass","Fail"),IF(J21="","Not done yet",IF(T21="±%",IF(X21="","Check correct answer",IF(ABS(X21)*100&lt;=V21+1E-9,"Pass","Fail")),IF(T21="% range",IF(X21="","Check correct answer",IF(AND(X21*100&gt;=U21-1E-9,X21*100&lt;=V21+1E-9),"Pass","Fail")),IF(T21="±abs",IF(ABS(W21)&lt;=V21+1E-9,"Pass","Fail"),"Check type"))))))))))</f>
        <v/>
      </c>
    </row>
    <row r="22">
      <c r="A22" s="15" t="inlineStr">
        <is>
          <t>S5-015</t>
        </is>
      </c>
      <c r="B22" s="15" t="inlineStr">
        <is>
          <t>B</t>
        </is>
      </c>
      <c r="C22" s="15" t="inlineStr">
        <is>
          <t>Exports</t>
        </is>
      </c>
      <c r="D22" s="15" t="inlineStr">
        <is>
          <t>Project X2: numbers changed in Excel vs saved copy</t>
        </is>
      </c>
      <c r="E22" s="15" t="inlineStr">
        <is>
          <t>count</t>
        </is>
      </c>
      <c r="F22" s="15" t="inlineStr">
        <is>
          <t>Book</t>
        </is>
      </c>
      <c r="G22" s="15" t="inlineStr">
        <is>
          <t>Saved export from Stage 2</t>
        </is>
      </c>
      <c r="H22" s="15" t="inlineStr">
        <is>
          <t>Same as correct answer</t>
        </is>
      </c>
      <c r="I22" s="16" t="n"/>
      <c r="J22" s="16" t="n">
        <v>0</v>
      </c>
      <c r="K22" s="16" t="n"/>
      <c r="L22" s="17">
        <f>IF(W22="","",W22)</f>
        <v/>
      </c>
      <c r="M22" s="18">
        <f>IF(O22&lt;&gt;"",O22,Y22)</f>
        <v/>
      </c>
      <c r="N22" s="16" t="n"/>
      <c r="O22" s="19" t="n"/>
      <c r="P22" s="19" t="n"/>
      <c r="Q22" s="19" t="n"/>
      <c r="R22" s="20" t="inlineStr">
        <is>
          <t>—</t>
        </is>
      </c>
      <c r="S22" s="20" t="inlineStr">
        <is>
          <t>n/a</t>
        </is>
      </c>
      <c r="T22" s="20" t="inlineStr">
        <is>
          <t>Exact</t>
        </is>
      </c>
      <c r="U22" s="20" t="n"/>
      <c r="V22" s="20" t="n"/>
      <c r="W22" s="20">
        <f>IF(AND(ISNUMBER(I22),ISNUMBER(J22)),I22-J22,"")</f>
        <v/>
      </c>
      <c r="X22" s="20">
        <f>IF(AND(ISNUMBER(I22),ISNUMBER(J22)),IF(J22=0,"",(I22-J22)/ABS(J22)),"")</f>
        <v/>
      </c>
      <c r="Y22" s="20">
        <f>IF(T22="Advisory","No pass mark",IF(T22="Manual","Claude will check",IF(I22="","Not done yet",IF(T22="Exact",IF(AND(ISNUMBER(I22),ISNUMBER(J22)),IF(ROUND(I22,2)=ROUND(J22,2),"Pass","Fail"),IF(TRIM(LOWER(I22&amp;""))=TRIM(LOWER(J22&amp;"")),"Pass","Fail")),IF(T22="Min",IF(I22&gt;=U22-1E-9,"Pass","Fail"),IF(T22="Between",IF(AND(I22&gt;=U22,I22&lt;=V22),"Pass","Fail"),IF(J22="","Not done yet",IF(T22="±%",IF(X22="","Check correct answer",IF(ABS(X22)*100&lt;=V22+1E-9,"Pass","Fail")),IF(T22="% range",IF(X22="","Check correct answer",IF(AND(X22*100&gt;=U22-1E-9,X22*100&lt;=V22+1E-9),"Pass","Fail")),IF(T22="±abs",IF(ABS(W22)&lt;=V22+1E-9,"Pass","Fail"),"Check type"))))))))))</f>
        <v/>
      </c>
    </row>
    <row r="23">
      <c r="A23" s="15" t="inlineStr">
        <is>
          <t>S5-016</t>
        </is>
      </c>
      <c r="B23" s="15" t="inlineStr">
        <is>
          <t>B</t>
        </is>
      </c>
      <c r="C23" s="15" t="inlineStr">
        <is>
          <t>Exports</t>
        </is>
      </c>
      <c r="D23" s="15" t="inlineStr">
        <is>
          <t>Project X2: numbers changed in DXF vs saved copy</t>
        </is>
      </c>
      <c r="E23" s="15" t="inlineStr">
        <is>
          <t>count</t>
        </is>
      </c>
      <c r="F23" s="15" t="inlineStr">
        <is>
          <t>Book</t>
        </is>
      </c>
      <c r="G23" s="15" t="inlineStr">
        <is>
          <t>Saved export from Stage 2</t>
        </is>
      </c>
      <c r="H23" s="15" t="inlineStr">
        <is>
          <t>Same as correct answer</t>
        </is>
      </c>
      <c r="I23" s="16" t="n"/>
      <c r="J23" s="16" t="n">
        <v>0</v>
      </c>
      <c r="K23" s="16" t="n"/>
      <c r="L23" s="17">
        <f>IF(W23="","",W23)</f>
        <v/>
      </c>
      <c r="M23" s="18">
        <f>IF(O23&lt;&gt;"",O23,Y23)</f>
        <v/>
      </c>
      <c r="N23" s="16" t="n"/>
      <c r="O23" s="19" t="n"/>
      <c r="P23" s="19" t="n"/>
      <c r="Q23" s="19" t="n"/>
      <c r="R23" s="20" t="inlineStr">
        <is>
          <t>—</t>
        </is>
      </c>
      <c r="S23" s="20" t="inlineStr">
        <is>
          <t>n/a</t>
        </is>
      </c>
      <c r="T23" s="20" t="inlineStr">
        <is>
          <t>Exact</t>
        </is>
      </c>
      <c r="U23" s="20" t="n"/>
      <c r="V23" s="20" t="n"/>
      <c r="W23" s="20">
        <f>IF(AND(ISNUMBER(I23),ISNUMBER(J23)),I23-J23,"")</f>
        <v/>
      </c>
      <c r="X23" s="20">
        <f>IF(AND(ISNUMBER(I23),ISNUMBER(J23)),IF(J23=0,"",(I23-J23)/ABS(J23)),"")</f>
        <v/>
      </c>
      <c r="Y23" s="20">
        <f>IF(T23="Advisory","No pass mark",IF(T23="Manual","Claude will check",IF(I23="","Not done yet",IF(T23="Exact",IF(AND(ISNUMBER(I23),ISNUMBER(J23)),IF(ROUND(I23,2)=ROUND(J23,2),"Pass","Fail"),IF(TRIM(LOWER(I23&amp;""))=TRIM(LOWER(J23&amp;"")),"Pass","Fail")),IF(T23="Min",IF(I23&gt;=U23-1E-9,"Pass","Fail"),IF(T23="Between",IF(AND(I23&gt;=U23,I23&lt;=V23),"Pass","Fail"),IF(J23="","Not done yet",IF(T23="±%",IF(X23="","Check correct answer",IF(ABS(X23)*100&lt;=V23+1E-9,"Pass","Fail")),IF(T23="% range",IF(X23="","Check correct answer",IF(AND(X23*100&gt;=U23-1E-9,X23*100&lt;=V23+1E-9),"Pass","Fail")),IF(T23="±abs",IF(ABS(W23)&lt;=V23+1E-9,"Pass","Fail"),"Check type"))))))))))</f>
        <v/>
      </c>
    </row>
    <row r="24">
      <c r="A24" s="15" t="inlineStr">
        <is>
          <t>S5-017</t>
        </is>
      </c>
      <c r="B24" s="15" t="inlineStr">
        <is>
          <t>B</t>
        </is>
      </c>
      <c r="C24" s="15" t="inlineStr">
        <is>
          <t>Exports</t>
        </is>
      </c>
      <c r="D24" s="15" t="inlineStr">
        <is>
          <t>Project X3: numbers changed in PDF vs saved copy</t>
        </is>
      </c>
      <c r="E24" s="15" t="inlineStr">
        <is>
          <t>count</t>
        </is>
      </c>
      <c r="F24" s="15" t="inlineStr">
        <is>
          <t>Book</t>
        </is>
      </c>
      <c r="G24" s="15" t="inlineStr">
        <is>
          <t>Saved export from Stage 2</t>
        </is>
      </c>
      <c r="H24" s="15" t="inlineStr">
        <is>
          <t>Same as correct answer</t>
        </is>
      </c>
      <c r="I24" s="16" t="n"/>
      <c r="J24" s="16" t="n">
        <v>0</v>
      </c>
      <c r="K24" s="16" t="n"/>
      <c r="L24" s="17">
        <f>IF(W24="","",W24)</f>
        <v/>
      </c>
      <c r="M24" s="18">
        <f>IF(O24&lt;&gt;"",O24,Y24)</f>
        <v/>
      </c>
      <c r="N24" s="16" t="n"/>
      <c r="O24" s="19" t="n"/>
      <c r="P24" s="19" t="n"/>
      <c r="Q24" s="19" t="n"/>
      <c r="R24" s="20" t="inlineStr">
        <is>
          <t>—</t>
        </is>
      </c>
      <c r="S24" s="20" t="inlineStr">
        <is>
          <t>n/a</t>
        </is>
      </c>
      <c r="T24" s="20" t="inlineStr">
        <is>
          <t>Exact</t>
        </is>
      </c>
      <c r="U24" s="20" t="n"/>
      <c r="V24" s="20" t="n"/>
      <c r="W24" s="20">
        <f>IF(AND(ISNUMBER(I24),ISNUMBER(J24)),I24-J24,"")</f>
        <v/>
      </c>
      <c r="X24" s="20">
        <f>IF(AND(ISNUMBER(I24),ISNUMBER(J24)),IF(J24=0,"",(I24-J24)/ABS(J24)),"")</f>
        <v/>
      </c>
      <c r="Y24" s="20">
        <f>IF(T24="Advisory","No pass mark",IF(T24="Manual","Claude will check",IF(I24="","Not done yet",IF(T24="Exact",IF(AND(ISNUMBER(I24),ISNUMBER(J24)),IF(ROUND(I24,2)=ROUND(J24,2),"Pass","Fail"),IF(TRIM(LOWER(I24&amp;""))=TRIM(LOWER(J24&amp;"")),"Pass","Fail")),IF(T24="Min",IF(I24&gt;=U24-1E-9,"Pass","Fail"),IF(T24="Between",IF(AND(I24&gt;=U24,I24&lt;=V24),"Pass","Fail"),IF(J24="","Not done yet",IF(T24="±%",IF(X24="","Check correct answer",IF(ABS(X24)*100&lt;=V24+1E-9,"Pass","Fail")),IF(T24="% range",IF(X24="","Check correct answer",IF(AND(X24*100&gt;=U24-1E-9,X24*100&lt;=V24+1E-9),"Pass","Fail")),IF(T24="±abs",IF(ABS(W24)&lt;=V24+1E-9,"Pass","Fail"),"Check type"))))))))))</f>
        <v/>
      </c>
    </row>
    <row r="25">
      <c r="A25" s="15" t="inlineStr">
        <is>
          <t>S5-018</t>
        </is>
      </c>
      <c r="B25" s="15" t="inlineStr">
        <is>
          <t>B</t>
        </is>
      </c>
      <c r="C25" s="15" t="inlineStr">
        <is>
          <t>Exports</t>
        </is>
      </c>
      <c r="D25" s="15" t="inlineStr">
        <is>
          <t>Project X3: numbers changed in Excel vs saved copy</t>
        </is>
      </c>
      <c r="E25" s="15" t="inlineStr">
        <is>
          <t>count</t>
        </is>
      </c>
      <c r="F25" s="15" t="inlineStr">
        <is>
          <t>Book</t>
        </is>
      </c>
      <c r="G25" s="15" t="inlineStr">
        <is>
          <t>Saved export from Stage 2</t>
        </is>
      </c>
      <c r="H25" s="15" t="inlineStr">
        <is>
          <t>Same as correct answer</t>
        </is>
      </c>
      <c r="I25" s="16" t="n"/>
      <c r="J25" s="16" t="n">
        <v>0</v>
      </c>
      <c r="K25" s="16" t="n"/>
      <c r="L25" s="17">
        <f>IF(W25="","",W25)</f>
        <v/>
      </c>
      <c r="M25" s="18">
        <f>IF(O25&lt;&gt;"",O25,Y25)</f>
        <v/>
      </c>
      <c r="N25" s="16" t="n"/>
      <c r="O25" s="19" t="n"/>
      <c r="P25" s="19" t="n"/>
      <c r="Q25" s="19" t="n"/>
      <c r="R25" s="20" t="inlineStr">
        <is>
          <t>—</t>
        </is>
      </c>
      <c r="S25" s="20" t="inlineStr">
        <is>
          <t>n/a</t>
        </is>
      </c>
      <c r="T25" s="20" t="inlineStr">
        <is>
          <t>Exact</t>
        </is>
      </c>
      <c r="U25" s="20" t="n"/>
      <c r="V25" s="20" t="n"/>
      <c r="W25" s="20">
        <f>IF(AND(ISNUMBER(I25),ISNUMBER(J25)),I25-J25,"")</f>
        <v/>
      </c>
      <c r="X25" s="20">
        <f>IF(AND(ISNUMBER(I25),ISNUMBER(J25)),IF(J25=0,"",(I25-J25)/ABS(J25)),"")</f>
        <v/>
      </c>
      <c r="Y25" s="20">
        <f>IF(T25="Advisory","No pass mark",IF(T25="Manual","Claude will check",IF(I25="","Not done yet",IF(T25="Exact",IF(AND(ISNUMBER(I25),ISNUMBER(J25)),IF(ROUND(I25,2)=ROUND(J25,2),"Pass","Fail"),IF(TRIM(LOWER(I25&amp;""))=TRIM(LOWER(J25&amp;"")),"Pass","Fail")),IF(T25="Min",IF(I25&gt;=U25-1E-9,"Pass","Fail"),IF(T25="Between",IF(AND(I25&gt;=U25,I25&lt;=V25),"Pass","Fail"),IF(J25="","Not done yet",IF(T25="±%",IF(X25="","Check correct answer",IF(ABS(X25)*100&lt;=V25+1E-9,"Pass","Fail")),IF(T25="% range",IF(X25="","Check correct answer",IF(AND(X25*100&gt;=U25-1E-9,X25*100&lt;=V25+1E-9),"Pass","Fail")),IF(T25="±abs",IF(ABS(W25)&lt;=V25+1E-9,"Pass","Fail"),"Check type"))))))))))</f>
        <v/>
      </c>
    </row>
    <row r="26">
      <c r="A26" s="15" t="inlineStr">
        <is>
          <t>S5-019</t>
        </is>
      </c>
      <c r="B26" s="15" t="inlineStr">
        <is>
          <t>B</t>
        </is>
      </c>
      <c r="C26" s="15" t="inlineStr">
        <is>
          <t>Exports</t>
        </is>
      </c>
      <c r="D26" s="15" t="inlineStr">
        <is>
          <t>Project X3: numbers changed in DXF vs saved copy</t>
        </is>
      </c>
      <c r="E26" s="15" t="inlineStr">
        <is>
          <t>count</t>
        </is>
      </c>
      <c r="F26" s="15" t="inlineStr">
        <is>
          <t>Book</t>
        </is>
      </c>
      <c r="G26" s="15" t="inlineStr">
        <is>
          <t>Saved export from Stage 2</t>
        </is>
      </c>
      <c r="H26" s="15" t="inlineStr">
        <is>
          <t>Same as correct answer</t>
        </is>
      </c>
      <c r="I26" s="16" t="n"/>
      <c r="J26" s="16" t="n">
        <v>0</v>
      </c>
      <c r="K26" s="16" t="n"/>
      <c r="L26" s="17">
        <f>IF(W26="","",W26)</f>
        <v/>
      </c>
      <c r="M26" s="18">
        <f>IF(O26&lt;&gt;"",O26,Y26)</f>
        <v/>
      </c>
      <c r="N26" s="16" t="n"/>
      <c r="O26" s="19" t="n"/>
      <c r="P26" s="19" t="n"/>
      <c r="Q26" s="19" t="n"/>
      <c r="R26" s="20" t="inlineStr">
        <is>
          <t>—</t>
        </is>
      </c>
      <c r="S26" s="20" t="inlineStr">
        <is>
          <t>n/a</t>
        </is>
      </c>
      <c r="T26" s="20" t="inlineStr">
        <is>
          <t>Exact</t>
        </is>
      </c>
      <c r="U26" s="20" t="n"/>
      <c r="V26" s="20" t="n"/>
      <c r="W26" s="20">
        <f>IF(AND(ISNUMBER(I26),ISNUMBER(J26)),I26-J26,"")</f>
        <v/>
      </c>
      <c r="X26" s="20">
        <f>IF(AND(ISNUMBER(I26),ISNUMBER(J26)),IF(J26=0,"",(I26-J26)/ABS(J26)),"")</f>
        <v/>
      </c>
      <c r="Y26" s="20">
        <f>IF(T26="Advisory","No pass mark",IF(T26="Manual","Claude will check",IF(I26="","Not done yet",IF(T26="Exact",IF(AND(ISNUMBER(I26),ISNUMBER(J26)),IF(ROUND(I26,2)=ROUND(J26,2),"Pass","Fail"),IF(TRIM(LOWER(I26&amp;""))=TRIM(LOWER(J26&amp;"")),"Pass","Fail")),IF(T26="Min",IF(I26&gt;=U26-1E-9,"Pass","Fail"),IF(T26="Between",IF(AND(I26&gt;=U26,I26&lt;=V26),"Pass","Fail"),IF(J26="","Not done yet",IF(T26="±%",IF(X26="","Check correct answer",IF(ABS(X26)*100&lt;=V26+1E-9,"Pass","Fail")),IF(T26="% range",IF(X26="","Check correct answer",IF(AND(X26*100&gt;=U26-1E-9,X26*100&lt;=V26+1E-9),"Pass","Fail")),IF(T26="±abs",IF(ABS(W26)&lt;=V26+1E-9,"Pass","Fail"),"Check type"))))))))))</f>
        <v/>
      </c>
    </row>
    <row r="27">
      <c r="A27" s="23" t="n"/>
      <c r="B27" s="24" t="inlineStr">
        <is>
          <t>C's tests (4)</t>
        </is>
      </c>
      <c r="C27" s="23" t="n"/>
      <c r="D27" s="23" t="n"/>
      <c r="E27" s="23" t="n"/>
      <c r="F27" s="23" t="n"/>
      <c r="G27" s="23" t="n"/>
      <c r="H27" s="23" t="n"/>
      <c r="I27" s="23" t="n"/>
      <c r="J27" s="23" t="n"/>
      <c r="K27" s="23" t="n"/>
      <c r="L27" s="23" t="n"/>
      <c r="M27" s="23" t="n"/>
      <c r="N27" s="23" t="n"/>
      <c r="O27" s="23" t="n"/>
      <c r="P27" s="23" t="n"/>
      <c r="Q27" s="23" t="n"/>
    </row>
    <row r="28">
      <c r="A28" s="15" t="inlineStr">
        <is>
          <t>S5-020</t>
        </is>
      </c>
      <c r="B28" s="15" t="inlineStr">
        <is>
          <t>C</t>
        </is>
      </c>
      <c r="C28" s="15" t="inlineStr">
        <is>
          <t>AI site consultant</t>
        </is>
      </c>
      <c r="D28" s="15" t="inlineStr">
        <is>
          <t>Invented clauses (cited clause not in verified list)</t>
        </is>
      </c>
      <c r="E28" s="15" t="inlineStr">
        <is>
          <t>count</t>
        </is>
      </c>
      <c r="F28" s="15" t="inlineStr">
        <is>
          <t>Real</t>
        </is>
      </c>
      <c r="G28" s="15" t="inlineStr">
        <is>
          <t>AI Questions sheet</t>
        </is>
      </c>
      <c r="H28" s="15" t="inlineStr">
        <is>
          <t>Same as correct answer</t>
        </is>
      </c>
      <c r="I28" s="26">
        <f>IF(COUNTIF('AI Questions'!H6:H155,"?*")&lt;150,"",COUNTIF('AI Questions'!H6:H155,"No"))</f>
        <v/>
      </c>
      <c r="J28" s="16" t="n">
        <v>0</v>
      </c>
      <c r="K28" s="16" t="n"/>
      <c r="L28" s="17">
        <f>IF(W28="","",W28)</f>
        <v/>
      </c>
      <c r="M28" s="18">
        <f>IF(O28&lt;&gt;"",O28,Y28)</f>
        <v/>
      </c>
      <c r="N28" s="16" t="n"/>
      <c r="O28" s="19" t="n"/>
      <c r="P28" s="19" t="n"/>
      <c r="Q28" s="19" t="n"/>
      <c r="R28" s="20" t="inlineStr">
        <is>
          <t>—</t>
        </is>
      </c>
      <c r="S28" s="20" t="inlineStr">
        <is>
          <t>NBC 2016</t>
        </is>
      </c>
      <c r="T28" s="20" t="inlineStr">
        <is>
          <t>Exact</t>
        </is>
      </c>
      <c r="U28" s="20" t="n"/>
      <c r="V28" s="20" t="n"/>
      <c r="W28" s="20">
        <f>IF(AND(ISNUMBER(I28),ISNUMBER(J28)),I28-J28,"")</f>
        <v/>
      </c>
      <c r="X28" s="20">
        <f>IF(AND(ISNUMBER(I28),ISNUMBER(J28)),IF(J28=0,"",(I28-J28)/ABS(J28)),"")</f>
        <v/>
      </c>
      <c r="Y28" s="20">
        <f>IF(T28="Advisory","No pass mark",IF(T28="Manual","Claude will check",IF(I28="","Not done yet",IF(T28="Exact",IF(AND(ISNUMBER(I28),ISNUMBER(J28)),IF(ROUND(I28,2)=ROUND(J28,2),"Pass","Fail"),IF(TRIM(LOWER(I28&amp;""))=TRIM(LOWER(J28&amp;"")),"Pass","Fail")),IF(T28="Min",IF(I28&gt;=U28-1E-9,"Pass","Fail"),IF(T28="Between",IF(AND(I28&gt;=U28,I28&lt;=V28),"Pass","Fail"),IF(J28="","Not done yet",IF(T28="±%",IF(X28="","Check correct answer",IF(ABS(X28)*100&lt;=V28+1E-9,"Pass","Fail")),IF(T28="% range",IF(X28="","Check correct answer",IF(AND(X28*100&gt;=U28-1E-9,X28*100&lt;=V28+1E-9),"Pass","Fail")),IF(T28="±abs",IF(ABS(W28)&lt;=V28+1E-9,"Pass","Fail"),"Check type"))))))))))</f>
        <v/>
      </c>
    </row>
    <row r="29">
      <c r="A29" s="15" t="inlineStr">
        <is>
          <t>S5-021</t>
        </is>
      </c>
      <c r="B29" s="15" t="inlineStr">
        <is>
          <t>C</t>
        </is>
      </c>
      <c r="C29" s="15" t="inlineStr">
        <is>
          <t>AI site consultant</t>
        </is>
      </c>
      <c r="D29" s="15" t="inlineStr">
        <is>
          <t>Correct answers out of 130 (answerable + tricky)</t>
        </is>
      </c>
      <c r="E29" s="15" t="inlineStr">
        <is>
          <t>count</t>
        </is>
      </c>
      <c r="F29" s="15" t="inlineStr">
        <is>
          <t>Real</t>
        </is>
      </c>
      <c r="G29" s="15" t="inlineStr">
        <is>
          <t>AI Questions sheet</t>
        </is>
      </c>
      <c r="H29" s="15" t="inlineStr">
        <is>
          <t>At least 117</t>
        </is>
      </c>
      <c r="I29" s="26">
        <f>IF(COUNTIF('AI Questions'!L6:L155,"?*")&lt;150,"",COUNTIFS('AI Questions'!B6:B105,"Answerable",'AI Questions'!L6:L105,"Correct")+COUNTIFS('AI Questions'!B106:B135,"Tricky",'AI Questions'!L106:L135,"Correct"))</f>
        <v/>
      </c>
      <c r="J29" s="16" t="n"/>
      <c r="K29" s="16" t="n"/>
      <c r="L29" s="17">
        <f>IF(W29="","",W29)</f>
        <v/>
      </c>
      <c r="M29" s="18">
        <f>IF(O29&lt;&gt;"",O29,Y29)</f>
        <v/>
      </c>
      <c r="N29" s="16" t="n"/>
      <c r="O29" s="19" t="n"/>
      <c r="P29" s="19" t="n"/>
      <c r="Q29" s="19" t="n"/>
      <c r="R29" s="20" t="inlineStr">
        <is>
          <t>—</t>
        </is>
      </c>
      <c r="S29" s="20" t="inlineStr">
        <is>
          <t>NBC 2016</t>
        </is>
      </c>
      <c r="T29" s="20" t="inlineStr">
        <is>
          <t>Min</t>
        </is>
      </c>
      <c r="U29" s="20" t="n">
        <v>117</v>
      </c>
      <c r="V29" s="20" t="n"/>
      <c r="W29" s="20">
        <f>IF(AND(ISNUMBER(I29),ISNUMBER(J29)),I29-J29,"")</f>
        <v/>
      </c>
      <c r="X29" s="20">
        <f>IF(AND(ISNUMBER(I29),ISNUMBER(J29)),IF(J29=0,"",(I29-J29)/ABS(J29)),"")</f>
        <v/>
      </c>
      <c r="Y29" s="20">
        <f>IF(T29="Advisory","No pass mark",IF(T29="Manual","Claude will check",IF(I29="","Not done yet",IF(T29="Exact",IF(AND(ISNUMBER(I29),ISNUMBER(J29)),IF(ROUND(I29,2)=ROUND(J29,2),"Pass","Fail"),IF(TRIM(LOWER(I29&amp;""))=TRIM(LOWER(J29&amp;"")),"Pass","Fail")),IF(T29="Min",IF(I29&gt;=U29-1E-9,"Pass","Fail"),IF(T29="Between",IF(AND(I29&gt;=U29,I29&lt;=V29),"Pass","Fail"),IF(J29="","Not done yet",IF(T29="±%",IF(X29="","Check correct answer",IF(ABS(X29)*100&lt;=V29+1E-9,"Pass","Fail")),IF(T29="% range",IF(X29="","Check correct answer",IF(AND(X29*100&gt;=U29-1E-9,X29*100&lt;=V29+1E-9),"Pass","Fail")),IF(T29="±abs",IF(ABS(W29)&lt;=V29+1E-9,"Pass","Fail"),"Check type"))))))))))</f>
        <v/>
      </c>
    </row>
    <row r="30">
      <c r="A30" s="15" t="inlineStr">
        <is>
          <t>S5-022</t>
        </is>
      </c>
      <c r="B30" s="15" t="inlineStr">
        <is>
          <t>C</t>
        </is>
      </c>
      <c r="C30" s="15" t="inlineStr">
        <is>
          <t>AI site consultant</t>
        </is>
      </c>
      <c r="D30" s="15" t="inlineStr">
        <is>
          <t>Correct refusals out of 20</t>
        </is>
      </c>
      <c r="E30" s="15" t="inlineStr">
        <is>
          <t>count</t>
        </is>
      </c>
      <c r="F30" s="15" t="inlineStr">
        <is>
          <t>Real</t>
        </is>
      </c>
      <c r="G30" s="15" t="inlineStr">
        <is>
          <t>AI Questions sheet</t>
        </is>
      </c>
      <c r="H30" s="15" t="inlineStr">
        <is>
          <t>At least 19</t>
        </is>
      </c>
      <c r="I30" s="26">
        <f>IF(COUNTIF('AI Questions'!L6:L155,"?*")&lt;150,"",COUNTIFS('AI Questions'!B136:B155,"Must refuse",'AI Questions'!L136:L155,"Correct"))</f>
        <v/>
      </c>
      <c r="J30" s="16" t="n"/>
      <c r="K30" s="16" t="n"/>
      <c r="L30" s="17">
        <f>IF(W30="","",W30)</f>
        <v/>
      </c>
      <c r="M30" s="18">
        <f>IF(O30&lt;&gt;"",O30,Y30)</f>
        <v/>
      </c>
      <c r="N30" s="16" t="n"/>
      <c r="O30" s="19" t="n"/>
      <c r="P30" s="19" t="n"/>
      <c r="Q30" s="19" t="n"/>
      <c r="R30" s="20" t="inlineStr">
        <is>
          <t>—</t>
        </is>
      </c>
      <c r="S30" s="20" t="inlineStr">
        <is>
          <t>NBC 2016</t>
        </is>
      </c>
      <c r="T30" s="20" t="inlineStr">
        <is>
          <t>Min</t>
        </is>
      </c>
      <c r="U30" s="20" t="n">
        <v>19</v>
      </c>
      <c r="V30" s="20" t="n"/>
      <c r="W30" s="20">
        <f>IF(AND(ISNUMBER(I30),ISNUMBER(J30)),I30-J30,"")</f>
        <v/>
      </c>
      <c r="X30" s="20">
        <f>IF(AND(ISNUMBER(I30),ISNUMBER(J30)),IF(J30=0,"",(I30-J30)/ABS(J30)),"")</f>
        <v/>
      </c>
      <c r="Y30" s="20">
        <f>IF(T30="Advisory","No pass mark",IF(T30="Manual","Claude will check",IF(I30="","Not done yet",IF(T30="Exact",IF(AND(ISNUMBER(I30),ISNUMBER(J30)),IF(ROUND(I30,2)=ROUND(J30,2),"Pass","Fail"),IF(TRIM(LOWER(I30&amp;""))=TRIM(LOWER(J30&amp;"")),"Pass","Fail")),IF(T30="Min",IF(I30&gt;=U30-1E-9,"Pass","Fail"),IF(T30="Between",IF(AND(I30&gt;=U30,I30&lt;=V30),"Pass","Fail"),IF(J30="","Not done yet",IF(T30="±%",IF(X30="","Check correct answer",IF(ABS(X30)*100&lt;=V30+1E-9,"Pass","Fail")),IF(T30="% range",IF(X30="","Check correct answer",IF(AND(X30*100&gt;=U30-1E-9,X30*100&lt;=V30+1E-9),"Pass","Fail")),IF(T30="±abs",IF(ABS(W30)&lt;=V30+1E-9,"Pass","Fail"),"Check type"))))))))))</f>
        <v/>
      </c>
    </row>
    <row r="31">
      <c r="A31" s="15" t="inlineStr">
        <is>
          <t>S5-023</t>
        </is>
      </c>
      <c r="B31" s="15" t="inlineStr">
        <is>
          <t>C</t>
        </is>
      </c>
      <c r="C31" s="15" t="inlineStr">
        <is>
          <t>AI site consultant</t>
        </is>
      </c>
      <c r="D31" s="15" t="inlineStr">
        <is>
          <t>Grader agreement (A and B)</t>
        </is>
      </c>
      <c r="E31" s="15" t="inlineStr">
        <is>
          <t>share</t>
        </is>
      </c>
      <c r="F31" s="15" t="inlineStr">
        <is>
          <t>Real</t>
        </is>
      </c>
      <c r="G31" s="15" t="inlineStr">
        <is>
          <t>AI Questions sheet</t>
        </is>
      </c>
      <c r="H31" s="15" t="inlineStr">
        <is>
          <t>No pass mark (advisory)</t>
        </is>
      </c>
      <c r="I31" s="26">
        <f>IFERROR(AVERAGE('AI Questions'!M6:M155),"")</f>
        <v/>
      </c>
      <c r="J31" s="16" t="n"/>
      <c r="K31" s="16" t="n"/>
      <c r="L31" s="17" t="n"/>
      <c r="M31" s="18">
        <f>IF(O31&lt;&gt;"",O31,Y31)</f>
        <v/>
      </c>
      <c r="N31" s="16" t="n"/>
      <c r="O31" s="19" t="n"/>
      <c r="P31" s="19" t="n"/>
      <c r="Q31" s="19" t="n"/>
      <c r="R31" s="20" t="inlineStr">
        <is>
          <t>—</t>
        </is>
      </c>
      <c r="S31" s="20" t="inlineStr">
        <is>
          <t>NBC 2016</t>
        </is>
      </c>
      <c r="T31" s="20" t="inlineStr">
        <is>
          <t>Advisory</t>
        </is>
      </c>
      <c r="U31" s="20" t="n"/>
      <c r="V31" s="20" t="n"/>
      <c r="W31" s="20">
        <f>IF(AND(ISNUMBER(I31),ISNUMBER(J31)),I31-J31,"")</f>
        <v/>
      </c>
      <c r="X31" s="20">
        <f>IF(AND(ISNUMBER(I31),ISNUMBER(J31)),IF(J31=0,"",(I31-J31)/ABS(J31)),"")</f>
        <v/>
      </c>
      <c r="Y31" s="20">
        <f>IF(T31="Advisory","No pass mark",IF(T31="Manual","Claude will check",IF(I31="","Not done yet",IF(T31="Exact",IF(AND(ISNUMBER(I31),ISNUMBER(J31)),IF(ROUND(I31,2)=ROUND(J31,2),"Pass","Fail"),IF(TRIM(LOWER(I31&amp;""))=TRIM(LOWER(J31&amp;"")),"Pass","Fail")),IF(T31="Min",IF(I31&gt;=U31-1E-9,"Pass","Fail"),IF(T31="Between",IF(AND(I31&gt;=U31,I31&lt;=V31),"Pass","Fail"),IF(J31="","Not done yet",IF(T31="±%",IF(X31="","Check correct answer",IF(ABS(X31)*100&lt;=V31+1E-9,"Pass","Fail")),IF(T31="% range",IF(X31="","Check correct answer",IF(AND(X31*100&gt;=U31-1E-9,X31*100&lt;=V31+1E-9),"Pass","Fail")),IF(T31="±abs",IF(ABS(W31)&lt;=V31+1E-9,"Pass","Fail"),"Check type"))))))))))</f>
        <v/>
      </c>
    </row>
  </sheetData>
  <autoFilter ref="A5:Q31"/>
  <mergeCells count="1">
    <mergeCell ref="A2:N3"/>
  </mergeCells>
  <conditionalFormatting sqref="M6:M131">
    <cfRule type="cellIs" priority="1" operator="equal" dxfId="1">
      <formula>"Pass"</formula>
    </cfRule>
    <cfRule type="cellIs" priority="2" operator="equal" dxfId="2">
      <formula>"Fail"</formula>
    </cfRule>
  </conditionalFormatting>
  <dataValidations count="3">
    <dataValidation sqref="I14 I15 I16 I17" showDropDown="0" showInputMessage="0" showErrorMessage="0" allowBlank="1" type="list">
      <formula1>"Flagged,Not flagged"</formula1>
    </dataValidation>
    <dataValidation sqref="O6:O131" showDropDown="0" showInputMessage="0" showErrorMessage="0" allowBlank="1" type="list">
      <formula1>"Pass,Fail,Not tested"</formula1>
    </dataValidation>
    <dataValidation sqref="Q6:Q131" showDropDown="0" showInputMessage="0" showErrorMessage="0" allowBlank="1" type="list">
      <formula1>"App bug (our code),We entered wrong input,Measured a different way,Not sure the book/RERA value is right,Limit of the app's method"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Y20"/>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8" customWidth="1" min="3" max="3"/>
    <col width="46" customWidth="1" min="4" max="4"/>
    <col width="10" customWidth="1" min="5" max="5"/>
    <col width="8" customWidth="1" min="6" max="6"/>
    <col width="30" customWidth="1" min="7" max="7"/>
    <col width="24" customWidth="1" min="8" max="8"/>
    <col width="13" customWidth="1" min="9" max="9"/>
    <col width="13" customWidth="1" min="10" max="10"/>
    <col width="28" customWidth="1" min="11" max="11"/>
    <col width="10" customWidth="1" min="12" max="12"/>
    <col width="13" customWidth="1" min="13" max="13"/>
    <col width="30" customWidth="1" min="14" max="14"/>
    <col width="11" customWidth="1" min="15" max="15"/>
    <col width="11" customWidth="1" min="16" max="16"/>
    <col width="18" customWidth="1" min="17" max="17"/>
    <col hidden="1" outlineLevel="1" width="24" customWidth="1" min="18" max="25"/>
  </cols>
  <sheetData>
    <row r="1">
      <c r="A1" s="4" t="inlineStr">
        <is>
          <t>Real-project replay (week 11)</t>
        </is>
      </c>
    </row>
    <row r="2" ht="22" customHeight="1">
      <c r="A2" s="10" t="inlineStr">
        <is>
          <t>HOW TO FILL:  1) Find your letter.  2) Run the test in the app and type its answer in App answer.  3) Type the correct answer from the book or RERA in Correct answer (some are already filled).  4) Write where you got it.  5) Result fills itself. Don't change grey cells.</t>
        </is>
      </c>
    </row>
    <row r="3" ht="22" customHeight="1"/>
    <row r="4">
      <c r="A4" s="11" t="inlineStr">
        <is>
          <t>Yellow = you fill  ·  Grey = fixed plan, don't change  ·  Blue = Claude fills  ·  Click + above column R to see technical details</t>
        </is>
      </c>
    </row>
    <row r="5" ht="42" customHeight="1">
      <c r="A5" s="6" t="inlineStr">
        <is>
          <t>#</t>
        </is>
      </c>
      <c r="B5" s="6" t="inlineStr">
        <is>
          <t>Who</t>
        </is>
      </c>
      <c r="C5" s="6" t="inlineStr">
        <is>
          <t>Topic</t>
        </is>
      </c>
      <c r="D5" s="6" t="inlineStr">
        <is>
          <t>What to test</t>
        </is>
      </c>
      <c r="E5" s="6" t="inlineStr">
        <is>
          <t>Unit</t>
        </is>
      </c>
      <c r="F5" s="6" t="inlineStr">
        <is>
          <t>Type</t>
        </is>
      </c>
      <c r="G5" s="6" t="inlineStr">
        <is>
          <t>Compare with</t>
        </is>
      </c>
      <c r="H5" s="6" t="inlineStr">
        <is>
          <t>Pass if</t>
        </is>
      </c>
      <c r="I5" s="6" t="inlineStr">
        <is>
          <t>App answer</t>
        </is>
      </c>
      <c r="J5" s="6" t="inlineStr">
        <is>
          <t>Correct answer</t>
        </is>
      </c>
      <c r="K5" s="6" t="inlineStr">
        <is>
          <t>Where you got it (book + page, or RERA no.)</t>
        </is>
      </c>
      <c r="L5" s="6" t="inlineStr">
        <is>
          <t>Off by</t>
        </is>
      </c>
      <c r="M5" s="6" t="inlineStr">
        <is>
          <t>Result</t>
        </is>
      </c>
      <c r="N5" s="6" t="inlineStr">
        <is>
          <t>Notes</t>
        </is>
      </c>
      <c r="O5" s="12" t="inlineStr">
        <is>
          <t>Claude: override</t>
        </is>
      </c>
      <c r="P5" s="12" t="inlineStr">
        <is>
          <t>Claude: first-run result</t>
        </is>
      </c>
      <c r="Q5" s="12" t="inlineStr">
        <is>
          <t>Claude: why it failed</t>
        </is>
      </c>
      <c r="R5" s="6" t="inlineStr">
        <is>
          <t>Code / clause</t>
        </is>
      </c>
      <c r="S5" s="6" t="inlineStr">
        <is>
          <t>Edition</t>
        </is>
      </c>
      <c r="T5" s="6" t="inlineStr">
        <is>
          <t>Tol type</t>
        </is>
      </c>
      <c r="U5" s="6" t="inlineStr">
        <is>
          <t>Tol low</t>
        </is>
      </c>
      <c r="V5" s="6" t="inlineStr">
        <is>
          <t>Tol high</t>
        </is>
      </c>
      <c r="W5" s="6" t="inlineStr">
        <is>
          <t>Difference</t>
        </is>
      </c>
      <c r="X5" s="6" t="inlineStr">
        <is>
          <t>Error %</t>
        </is>
      </c>
      <c r="Y5" s="6" t="inlineStr">
        <is>
          <t>Auto result</t>
        </is>
      </c>
    </row>
    <row r="6">
      <c r="A6" s="13" t="n"/>
      <c r="B6" s="14" t="inlineStr">
        <is>
          <t>A's tests (5)</t>
        </is>
      </c>
      <c r="C6" s="13" t="n"/>
      <c r="D6" s="13" t="n"/>
      <c r="E6" s="13" t="n"/>
      <c r="F6" s="13" t="n"/>
      <c r="G6" s="13" t="n"/>
      <c r="H6" s="13" t="n"/>
      <c r="I6" s="13" t="n"/>
      <c r="J6" s="13" t="n"/>
      <c r="K6" s="13" t="n"/>
      <c r="L6" s="13" t="n"/>
      <c r="M6" s="13" t="n"/>
      <c r="N6" s="13" t="n"/>
      <c r="O6" s="13" t="n"/>
      <c r="P6" s="13" t="n"/>
      <c r="Q6" s="13" t="n"/>
    </row>
    <row r="7">
      <c r="A7" s="15" t="inlineStr">
        <is>
          <t>RP-001</t>
        </is>
      </c>
      <c r="B7" s="15" t="inlineStr">
        <is>
          <t>A</t>
        </is>
      </c>
      <c r="C7" s="15" t="inlineStr">
        <is>
          <t>Replay: Stage 1</t>
        </is>
      </c>
      <c r="D7" s="15" t="inlineStr">
        <is>
          <t>Site analysis completed on traced boundary</t>
        </is>
      </c>
      <c r="E7" s="15" t="inlineStr">
        <is>
          <t>Yes/No</t>
        </is>
      </c>
      <c r="F7" s="15" t="inlineStr">
        <is>
          <t>Real</t>
        </is>
      </c>
      <c r="G7" s="15" t="inlineStr">
        <is>
          <t>KML trace</t>
        </is>
      </c>
      <c r="H7" s="15" t="inlineStr">
        <is>
          <t>Claude will check</t>
        </is>
      </c>
      <c r="I7" s="16" t="n"/>
      <c r="J7" s="16" t="n"/>
      <c r="K7" s="16" t="n"/>
      <c r="L7" s="17" t="n"/>
      <c r="M7" s="18">
        <f>IF(O7&lt;&gt;"",O7,Y7)</f>
        <v/>
      </c>
      <c r="N7" s="16" t="n"/>
      <c r="O7" s="19" t="n"/>
      <c r="P7" s="19" t="n"/>
      <c r="Q7" s="19" t="n"/>
      <c r="R7" s="20" t="inlineStr">
        <is>
          <t>—</t>
        </is>
      </c>
      <c r="S7" s="20" t="inlineStr">
        <is>
          <t>n/a</t>
        </is>
      </c>
      <c r="T7" s="20" t="inlineStr">
        <is>
          <t>Manual</t>
        </is>
      </c>
      <c r="U7" s="20" t="n"/>
      <c r="V7" s="20" t="n"/>
      <c r="W7" s="20">
        <f>IF(AND(ISNUMBER(I7),ISNUMBER(J7)),I7-J7,"")</f>
        <v/>
      </c>
      <c r="X7" s="20">
        <f>IF(AND(ISNUMBER(I7),ISNUMBER(J7)),IF(J7=0,"",(I7-J7)/ABS(J7)),"")</f>
        <v/>
      </c>
      <c r="Y7" s="20">
        <f>IF(T7="Advisory","No pass mark",IF(T7="Manual","Claude will check",IF(I7="","Not done yet",IF(T7="Exact",IF(AND(ISNUMBER(I7),ISNUMBER(J7)),IF(ROUND(I7,2)=ROUND(J7,2),"Pass","Fail"),IF(TRIM(LOWER(I7&amp;""))=TRIM(LOWER(J7&amp;"")),"Pass","Fail")),IF(T7="Min",IF(I7&gt;=U7-1E-9,"Pass","Fail"),IF(T7="Between",IF(AND(I7&gt;=U7,I7&lt;=V7),"Pass","Fail"),IF(J7="","Not done yet",IF(T7="±%",IF(X7="","Check correct answer",IF(ABS(X7)*100&lt;=V7+1E-9,"Pass","Fail")),IF(T7="% range",IF(X7="","Check correct answer",IF(AND(X7*100&gt;=U7-1E-9,X7*100&lt;=V7+1E-9),"Pass","Fail")),IF(T7="±abs",IF(ABS(W7)&lt;=V7+1E-9,"Pass","Fail"),"Check type"))))))))))</f>
        <v/>
      </c>
    </row>
    <row r="8">
      <c r="A8" s="15" t="inlineStr">
        <is>
          <t>RP-002</t>
        </is>
      </c>
      <c r="B8" s="15" t="inlineStr">
        <is>
          <t>A</t>
        </is>
      </c>
      <c r="C8" s="15" t="inlineStr">
        <is>
          <t>Replay: Stage 2</t>
        </is>
      </c>
      <c r="D8" s="15" t="inlineStr">
        <is>
          <t>Unit count vs sanction</t>
        </is>
      </c>
      <c r="E8" s="15" t="inlineStr">
        <is>
          <t>units</t>
        </is>
      </c>
      <c r="F8" s="15" t="inlineStr">
        <is>
          <t>Real</t>
        </is>
      </c>
      <c r="G8" s="15" t="inlineStr">
        <is>
          <t>Sanctioned plan</t>
        </is>
      </c>
      <c r="H8" s="15" t="inlineStr">
        <is>
          <t>Within 5% of correct answer</t>
        </is>
      </c>
      <c r="I8" s="16" t="n"/>
      <c r="J8" s="16" t="n"/>
      <c r="K8" s="16" t="n"/>
      <c r="L8" s="25">
        <f>IF(X8="","",X8)</f>
        <v/>
      </c>
      <c r="M8" s="18">
        <f>IF(O8&lt;&gt;"",O8,Y8)</f>
        <v/>
      </c>
      <c r="N8" s="16" t="n"/>
      <c r="O8" s="19" t="n"/>
      <c r="P8" s="19" t="n"/>
      <c r="Q8" s="19" t="n"/>
      <c r="R8" s="20" t="inlineStr">
        <is>
          <t>—</t>
        </is>
      </c>
      <c r="S8" s="20" t="inlineStr">
        <is>
          <t>n/a</t>
        </is>
      </c>
      <c r="T8" s="20" t="inlineStr">
        <is>
          <t>±%</t>
        </is>
      </c>
      <c r="U8" s="20" t="n"/>
      <c r="V8" s="20" t="n">
        <v>5</v>
      </c>
      <c r="W8" s="20">
        <f>IF(AND(ISNUMBER(I8),ISNUMBER(J8)),I8-J8,"")</f>
        <v/>
      </c>
      <c r="X8" s="20">
        <f>IF(AND(ISNUMBER(I8),ISNUMBER(J8)),IF(J8=0,"",(I8-J8)/ABS(J8)),"")</f>
        <v/>
      </c>
      <c r="Y8" s="20">
        <f>IF(T8="Advisory","No pass mark",IF(T8="Manual","Claude will check",IF(I8="","Not done yet",IF(T8="Exact",IF(AND(ISNUMBER(I8),ISNUMBER(J8)),IF(ROUND(I8,2)=ROUND(J8,2),"Pass","Fail"),IF(TRIM(LOWER(I8&amp;""))=TRIM(LOWER(J8&amp;"")),"Pass","Fail")),IF(T8="Min",IF(I8&gt;=U8-1E-9,"Pass","Fail"),IF(T8="Between",IF(AND(I8&gt;=U8,I8&lt;=V8),"Pass","Fail"),IF(J8="","Not done yet",IF(T8="±%",IF(X8="","Check correct answer",IF(ABS(X8)*100&lt;=V8+1E-9,"Pass","Fail")),IF(T8="% range",IF(X8="","Check correct answer",IF(AND(X8*100&gt;=U8-1E-9,X8*100&lt;=V8+1E-9),"Pass","Fail")),IF(T8="±abs",IF(ABS(W8)&lt;=V8+1E-9,"Pass","Fail"),"Check type"))))))))))</f>
        <v/>
      </c>
    </row>
    <row r="9">
      <c r="A9" s="15" t="inlineStr">
        <is>
          <t>RP-003</t>
        </is>
      </c>
      <c r="B9" s="15" t="inlineStr">
        <is>
          <t>A</t>
        </is>
      </c>
      <c r="C9" s="15" t="inlineStr">
        <is>
          <t>Replay: Stage 2</t>
        </is>
      </c>
      <c r="D9" s="15" t="inlineStr">
        <is>
          <t>Average carpet area vs sanction</t>
        </is>
      </c>
      <c r="E9" s="15" t="inlineStr">
        <is>
          <t>m²</t>
        </is>
      </c>
      <c r="F9" s="15" t="inlineStr">
        <is>
          <t>Real</t>
        </is>
      </c>
      <c r="G9" s="15" t="inlineStr">
        <is>
          <t>RERA carpet areas</t>
        </is>
      </c>
      <c r="H9" s="15" t="inlineStr">
        <is>
          <t>Within 2% of correct answer</t>
        </is>
      </c>
      <c r="I9" s="16" t="n"/>
      <c r="J9" s="16" t="n"/>
      <c r="K9" s="16" t="n"/>
      <c r="L9" s="25">
        <f>IF(X9="","",X9)</f>
        <v/>
      </c>
      <c r="M9" s="18">
        <f>IF(O9&lt;&gt;"",O9,Y9)</f>
        <v/>
      </c>
      <c r="N9" s="16" t="n"/>
      <c r="O9" s="19" t="n"/>
      <c r="P9" s="19" t="n"/>
      <c r="Q9" s="19" t="n"/>
      <c r="R9" s="20" t="inlineStr">
        <is>
          <t>—</t>
        </is>
      </c>
      <c r="S9" s="20" t="inlineStr">
        <is>
          <t>n/a</t>
        </is>
      </c>
      <c r="T9" s="20" t="inlineStr">
        <is>
          <t>±%</t>
        </is>
      </c>
      <c r="U9" s="20" t="n"/>
      <c r="V9" s="20" t="n">
        <v>2</v>
      </c>
      <c r="W9" s="20">
        <f>IF(AND(ISNUMBER(I9),ISNUMBER(J9)),I9-J9,"")</f>
        <v/>
      </c>
      <c r="X9" s="20">
        <f>IF(AND(ISNUMBER(I9),ISNUMBER(J9)),IF(J9=0,"",(I9-J9)/ABS(J9)),"")</f>
        <v/>
      </c>
      <c r="Y9" s="20">
        <f>IF(T9="Advisory","No pass mark",IF(T9="Manual","Claude will check",IF(I9="","Not done yet",IF(T9="Exact",IF(AND(ISNUMBER(I9),ISNUMBER(J9)),IF(ROUND(I9,2)=ROUND(J9,2),"Pass","Fail"),IF(TRIM(LOWER(I9&amp;""))=TRIM(LOWER(J9&amp;"")),"Pass","Fail")),IF(T9="Min",IF(I9&gt;=U9-1E-9,"Pass","Fail"),IF(T9="Between",IF(AND(I9&gt;=U9,I9&lt;=V9),"Pass","Fail"),IF(J9="","Not done yet",IF(T9="±%",IF(X9="","Check correct answer",IF(ABS(X9)*100&lt;=V9+1E-9,"Pass","Fail")),IF(T9="% range",IF(X9="","Check correct answer",IF(AND(X9*100&gt;=U9-1E-9,X9*100&lt;=V9+1E-9),"Pass","Fail")),IF(T9="±abs",IF(ABS(W9)&lt;=V9+1E-9,"Pass","Fail"),"Check type"))))))))))</f>
        <v/>
      </c>
    </row>
    <row r="10">
      <c r="A10" s="15" t="inlineStr">
        <is>
          <t>RP-004</t>
        </is>
      </c>
      <c r="B10" s="15" t="inlineStr">
        <is>
          <t>A</t>
        </is>
      </c>
      <c r="C10" s="15" t="inlineStr">
        <is>
          <t>Replay: Stage 2</t>
        </is>
      </c>
      <c r="D10" s="15" t="inlineStr">
        <is>
          <t>Car spaces vs sanction</t>
        </is>
      </c>
      <c r="E10" s="15" t="inlineStr">
        <is>
          <t>spaces</t>
        </is>
      </c>
      <c r="F10" s="15" t="inlineStr">
        <is>
          <t>Real</t>
        </is>
      </c>
      <c r="G10" s="15" t="inlineStr">
        <is>
          <t>Sanctioned plan</t>
        </is>
      </c>
      <c r="H10" s="15" t="inlineStr">
        <is>
          <t>Same as correct answer</t>
        </is>
      </c>
      <c r="I10" s="16" t="n"/>
      <c r="J10" s="16" t="n"/>
      <c r="K10" s="16" t="n"/>
      <c r="L10" s="17">
        <f>IF(W10="","",W10)</f>
        <v/>
      </c>
      <c r="M10" s="18">
        <f>IF(O10&lt;&gt;"",O10,Y10)</f>
        <v/>
      </c>
      <c r="N10" s="16" t="n"/>
      <c r="O10" s="19" t="n"/>
      <c r="P10" s="19" t="n"/>
      <c r="Q10" s="19" t="n"/>
      <c r="R10" s="20" t="inlineStr">
        <is>
          <t>—</t>
        </is>
      </c>
      <c r="S10" s="20" t="inlineStr">
        <is>
          <t>RMP-2015</t>
        </is>
      </c>
      <c r="T10" s="20" t="inlineStr">
        <is>
          <t>Exact</t>
        </is>
      </c>
      <c r="U10" s="20" t="n"/>
      <c r="V10" s="20" t="n"/>
      <c r="W10" s="20">
        <f>IF(AND(ISNUMBER(I10),ISNUMBER(J10)),I10-J10,"")</f>
        <v/>
      </c>
      <c r="X10" s="20">
        <f>IF(AND(ISNUMBER(I10),ISNUMBER(J10)),IF(J10=0,"",(I10-J10)/ABS(J10)),"")</f>
        <v/>
      </c>
      <c r="Y10" s="20">
        <f>IF(T10="Advisory","No pass mark",IF(T10="Manual","Claude will check",IF(I10="","Not done yet",IF(T10="Exact",IF(AND(ISNUMBER(I10),ISNUMBER(J10)),IF(ROUND(I10,2)=ROUND(J10,2),"Pass","Fail"),IF(TRIM(LOWER(I10&amp;""))=TRIM(LOWER(J10&amp;"")),"Pass","Fail")),IF(T10="Min",IF(I10&gt;=U10-1E-9,"Pass","Fail"),IF(T10="Between",IF(AND(I10&gt;=U10,I10&lt;=V10),"Pass","Fail"),IF(J10="","Not done yet",IF(T10="±%",IF(X10="","Check correct answer",IF(ABS(X10)*100&lt;=V10+1E-9,"Pass","Fail")),IF(T10="% range",IF(X10="","Check correct answer",IF(AND(X10*100&gt;=U10-1E-9,X10*100&lt;=V10+1E-9),"Pass","Fail")),IF(T10="±abs",IF(ABS(W10)&lt;=V10+1E-9,"Pass","Fail"),"Check type"))))))))))</f>
        <v/>
      </c>
    </row>
    <row r="11">
      <c r="A11" s="15" t="inlineStr">
        <is>
          <t>RP-005</t>
        </is>
      </c>
      <c r="B11" s="15" t="inlineStr">
        <is>
          <t>A</t>
        </is>
      </c>
      <c r="C11" s="15" t="inlineStr">
        <is>
          <t>Replay: Stage 2</t>
        </is>
      </c>
      <c r="D11" s="15" t="inlineStr">
        <is>
          <t>FAR vs sanction</t>
        </is>
      </c>
      <c r="E11" s="15" t="inlineStr">
        <is>
          <t>ratio</t>
        </is>
      </c>
      <c r="F11" s="15" t="inlineStr">
        <is>
          <t>Real</t>
        </is>
      </c>
      <c r="G11" s="15" t="inlineStr">
        <is>
          <t>Sanctioned plan</t>
        </is>
      </c>
      <c r="H11" s="15" t="inlineStr">
        <is>
          <t>Within 1% of correct answer</t>
        </is>
      </c>
      <c r="I11" s="16" t="n"/>
      <c r="J11" s="16" t="n"/>
      <c r="K11" s="16" t="n"/>
      <c r="L11" s="25">
        <f>IF(X11="","",X11)</f>
        <v/>
      </c>
      <c r="M11" s="18">
        <f>IF(O11&lt;&gt;"",O11,Y11)</f>
        <v/>
      </c>
      <c r="N11" s="16" t="n"/>
      <c r="O11" s="19" t="n"/>
      <c r="P11" s="19" t="n"/>
      <c r="Q11" s="19" t="n"/>
      <c r="R11" s="20" t="inlineStr">
        <is>
          <t>—</t>
        </is>
      </c>
      <c r="S11" s="20" t="inlineStr">
        <is>
          <t>RMP-2015</t>
        </is>
      </c>
      <c r="T11" s="20" t="inlineStr">
        <is>
          <t>±%</t>
        </is>
      </c>
      <c r="U11" s="20" t="n"/>
      <c r="V11" s="20" t="n">
        <v>1</v>
      </c>
      <c r="W11" s="20">
        <f>IF(AND(ISNUMBER(I11),ISNUMBER(J11)),I11-J11,"")</f>
        <v/>
      </c>
      <c r="X11" s="20">
        <f>IF(AND(ISNUMBER(I11),ISNUMBER(J11)),IF(J11=0,"",(I11-J11)/ABS(J11)),"")</f>
        <v/>
      </c>
      <c r="Y11" s="20">
        <f>IF(T11="Advisory","No pass mark",IF(T11="Manual","Claude will check",IF(I11="","Not done yet",IF(T11="Exact",IF(AND(ISNUMBER(I11),ISNUMBER(J11)),IF(ROUND(I11,2)=ROUND(J11,2),"Pass","Fail"),IF(TRIM(LOWER(I11&amp;""))=TRIM(LOWER(J11&amp;"")),"Pass","Fail")),IF(T11="Min",IF(I11&gt;=U11-1E-9,"Pass","Fail"),IF(T11="Between",IF(AND(I11&gt;=U11,I11&lt;=V11),"Pass","Fail"),IF(J11="","Not done yet",IF(T11="±%",IF(X11="","Check correct answer",IF(ABS(X11)*100&lt;=V11+1E-9,"Pass","Fail")),IF(T11="% range",IF(X11="","Check correct answer",IF(AND(X11*100&gt;=U11-1E-9,X11*100&lt;=V11+1E-9),"Pass","Fail")),IF(T11="±abs",IF(ABS(W11)&lt;=V11+1E-9,"Pass","Fail"),"Check type"))))))))))</f>
        <v/>
      </c>
    </row>
    <row r="12">
      <c r="A12" s="21" t="n"/>
      <c r="B12" s="22" t="inlineStr">
        <is>
          <t>B's tests (1)</t>
        </is>
      </c>
      <c r="C12" s="21" t="n"/>
      <c r="D12" s="21" t="n"/>
      <c r="E12" s="21" t="n"/>
      <c r="F12" s="21" t="n"/>
      <c r="G12" s="21" t="n"/>
      <c r="H12" s="21" t="n"/>
      <c r="I12" s="21" t="n"/>
      <c r="J12" s="21" t="n"/>
      <c r="K12" s="21" t="n"/>
      <c r="L12" s="21" t="n"/>
      <c r="M12" s="21" t="n"/>
      <c r="N12" s="21" t="n"/>
      <c r="O12" s="21" t="n"/>
      <c r="P12" s="21" t="n"/>
      <c r="Q12" s="21" t="n"/>
    </row>
    <row r="13">
      <c r="A13" s="15" t="inlineStr">
        <is>
          <t>RP-006</t>
        </is>
      </c>
      <c r="B13" s="15" t="inlineStr">
        <is>
          <t>B</t>
        </is>
      </c>
      <c r="C13" s="15" t="inlineStr">
        <is>
          <t>Replay: Stage 3</t>
        </is>
      </c>
      <c r="D13" s="15" t="inlineStr">
        <is>
          <t>One tower: base shear vs hand calculation</t>
        </is>
      </c>
      <c r="E13" s="15" t="inlineStr">
        <is>
          <t>kN</t>
        </is>
      </c>
      <c r="F13" s="15" t="inlineStr">
        <is>
          <t>Real</t>
        </is>
      </c>
      <c r="G13" s="15" t="inlineStr">
        <is>
          <t>Hand calculation</t>
        </is>
      </c>
      <c r="H13" s="15" t="inlineStr">
        <is>
          <t>Within 1% of correct answer</t>
        </is>
      </c>
      <c r="I13" s="16" t="n"/>
      <c r="J13" s="16" t="n"/>
      <c r="K13" s="16" t="n"/>
      <c r="L13" s="25">
        <f>IF(X13="","",X13)</f>
        <v/>
      </c>
      <c r="M13" s="18">
        <f>IF(O13&lt;&gt;"",O13,Y13)</f>
        <v/>
      </c>
      <c r="N13" s="16" t="n"/>
      <c r="O13" s="19" t="n"/>
      <c r="P13" s="19" t="n"/>
      <c r="Q13" s="19" t="n"/>
      <c r="R13" s="20" t="inlineStr">
        <is>
          <t>IS 1893 (Part 1):2016 Cl. 7.2.1</t>
        </is>
      </c>
      <c r="S13" s="20" t="inlineStr">
        <is>
          <t>IS 1893:2016</t>
        </is>
      </c>
      <c r="T13" s="20" t="inlineStr">
        <is>
          <t>±%</t>
        </is>
      </c>
      <c r="U13" s="20" t="n"/>
      <c r="V13" s="20" t="n">
        <v>1</v>
      </c>
      <c r="W13" s="20">
        <f>IF(AND(ISNUMBER(I13),ISNUMBER(J13)),I13-J13,"")</f>
        <v/>
      </c>
      <c r="X13" s="20">
        <f>IF(AND(ISNUMBER(I13),ISNUMBER(J13)),IF(J13=0,"",(I13-J13)/ABS(J13)),"")</f>
        <v/>
      </c>
      <c r="Y13" s="20">
        <f>IF(T13="Advisory","No pass mark",IF(T13="Manual","Claude will check",IF(I13="","Not done yet",IF(T13="Exact",IF(AND(ISNUMBER(I13),ISNUMBER(J13)),IF(ROUND(I13,2)=ROUND(J13,2),"Pass","Fail"),IF(TRIM(LOWER(I13&amp;""))=TRIM(LOWER(J13&amp;"")),"Pass","Fail")),IF(T13="Min",IF(I13&gt;=U13-1E-9,"Pass","Fail"),IF(T13="Between",IF(AND(I13&gt;=U13,I13&lt;=V13),"Pass","Fail"),IF(J13="","Not done yet",IF(T13="±%",IF(X13="","Check correct answer",IF(ABS(X13)*100&lt;=V13+1E-9,"Pass","Fail")),IF(T13="% range",IF(X13="","Check correct answer",IF(AND(X13*100&gt;=U13-1E-9,X13*100&lt;=V13+1E-9),"Pass","Fail")),IF(T13="±abs",IF(ABS(W13)&lt;=V13+1E-9,"Pass","Fail"),"Check type"))))))))))</f>
        <v/>
      </c>
    </row>
    <row r="14">
      <c r="A14" s="23" t="n"/>
      <c r="B14" s="24" t="inlineStr">
        <is>
          <t>C's tests (6)</t>
        </is>
      </c>
      <c r="C14" s="23" t="n"/>
      <c r="D14" s="23" t="n"/>
      <c r="E14" s="23" t="n"/>
      <c r="F14" s="23" t="n"/>
      <c r="G14" s="23" t="n"/>
      <c r="H14" s="23" t="n"/>
      <c r="I14" s="23" t="n"/>
      <c r="J14" s="23" t="n"/>
      <c r="K14" s="23" t="n"/>
      <c r="L14" s="23" t="n"/>
      <c r="M14" s="23" t="n"/>
      <c r="N14" s="23" t="n"/>
      <c r="O14" s="23" t="n"/>
      <c r="P14" s="23" t="n"/>
      <c r="Q14" s="23" t="n"/>
    </row>
    <row r="15">
      <c r="A15" s="15" t="inlineStr">
        <is>
          <t>RP-007</t>
        </is>
      </c>
      <c r="B15" s="15" t="inlineStr">
        <is>
          <t>C</t>
        </is>
      </c>
      <c r="C15" s="15" t="inlineStr">
        <is>
          <t>Replay: Stage 4</t>
        </is>
      </c>
      <c r="D15" s="15" t="inlineStr">
        <is>
          <t>Total cost vs RERA declared cost</t>
        </is>
      </c>
      <c r="E15" s="15" t="inlineStr">
        <is>
          <t>₹</t>
        </is>
      </c>
      <c r="F15" s="15" t="inlineStr">
        <is>
          <t>Real</t>
        </is>
      </c>
      <c r="G15" s="15" t="inlineStr">
        <is>
          <t>RERA declared cost</t>
        </is>
      </c>
      <c r="H15" s="15" t="inlineStr">
        <is>
          <t>From 20% below to 30% above correct answer</t>
        </is>
      </c>
      <c r="I15" s="16" t="n"/>
      <c r="J15" s="16" t="n"/>
      <c r="K15" s="16" t="n"/>
      <c r="L15" s="25">
        <f>IF(X15="","",X15)</f>
        <v/>
      </c>
      <c r="M15" s="18">
        <f>IF(O15&lt;&gt;"",O15,Y15)</f>
        <v/>
      </c>
      <c r="N15" s="16" t="n"/>
      <c r="O15" s="19" t="n"/>
      <c r="P15" s="19" t="n"/>
      <c r="Q15" s="19" t="n"/>
      <c r="R15" s="20" t="inlineStr">
        <is>
          <t>AACE 18R-97 Class 3</t>
        </is>
      </c>
      <c r="S15" s="20" t="inlineStr">
        <is>
          <t>n/a</t>
        </is>
      </c>
      <c r="T15" s="20" t="inlineStr">
        <is>
          <t>% range</t>
        </is>
      </c>
      <c r="U15" s="20" t="n">
        <v>-20</v>
      </c>
      <c r="V15" s="20" t="n">
        <v>30</v>
      </c>
      <c r="W15" s="20">
        <f>IF(AND(ISNUMBER(I15),ISNUMBER(J15)),I15-J15,"")</f>
        <v/>
      </c>
      <c r="X15" s="20">
        <f>IF(AND(ISNUMBER(I15),ISNUMBER(J15)),IF(J15=0,"",(I15-J15)/ABS(J15)),"")</f>
        <v/>
      </c>
      <c r="Y15" s="20">
        <f>IF(T15="Advisory","No pass mark",IF(T15="Manual","Claude will check",IF(I15="","Not done yet",IF(T15="Exact",IF(AND(ISNUMBER(I15),ISNUMBER(J15)),IF(ROUND(I15,2)=ROUND(J15,2),"Pass","Fail"),IF(TRIM(LOWER(I15&amp;""))=TRIM(LOWER(J15&amp;"")),"Pass","Fail")),IF(T15="Min",IF(I15&gt;=U15-1E-9,"Pass","Fail"),IF(T15="Between",IF(AND(I15&gt;=U15,I15&lt;=V15),"Pass","Fail"),IF(J15="","Not done yet",IF(T15="±%",IF(X15="","Check correct answer",IF(ABS(X15)*100&lt;=V15+1E-9,"Pass","Fail")),IF(T15="% range",IF(X15="","Check correct answer",IF(AND(X15*100&gt;=U15-1E-9,X15*100&lt;=V15+1E-9),"Pass","Fail")),IF(T15="±abs",IF(ABS(W15)&lt;=V15+1E-9,"Pass","Fail"),"Check type"))))))))))</f>
        <v/>
      </c>
    </row>
    <row r="16">
      <c r="A16" s="15" t="inlineStr">
        <is>
          <t>RP-008</t>
        </is>
      </c>
      <c r="B16" s="15" t="inlineStr">
        <is>
          <t>C</t>
        </is>
      </c>
      <c r="C16" s="15" t="inlineStr">
        <is>
          <t>Replay: Stage 4</t>
        </is>
      </c>
      <c r="D16" s="15" t="inlineStr">
        <is>
          <t>Quarter 1: planned vs reported % complete</t>
        </is>
      </c>
      <c r="E16" s="15" t="inlineStr">
        <is>
          <t>%</t>
        </is>
      </c>
      <c r="F16" s="15" t="inlineStr">
        <is>
          <t>Real</t>
        </is>
      </c>
      <c r="G16" s="15" t="inlineStr">
        <is>
          <t>RERA quarterly report</t>
        </is>
      </c>
      <c r="H16" s="15" t="inlineStr">
        <is>
          <t>Within ±10 percentage points</t>
        </is>
      </c>
      <c r="I16" s="16" t="n"/>
      <c r="J16" s="16" t="n"/>
      <c r="K16" s="16" t="n"/>
      <c r="L16" s="17">
        <f>IF(W16="","",W16)</f>
        <v/>
      </c>
      <c r="M16" s="18">
        <f>IF(O16&lt;&gt;"",O16,Y16)</f>
        <v/>
      </c>
      <c r="N16" s="16" t="n"/>
      <c r="O16" s="19" t="n"/>
      <c r="P16" s="19" t="n"/>
      <c r="Q16" s="19" t="n"/>
      <c r="R16" s="20" t="inlineStr">
        <is>
          <t>—</t>
        </is>
      </c>
      <c r="S16" s="20" t="inlineStr">
        <is>
          <t>n/a</t>
        </is>
      </c>
      <c r="T16" s="20" t="inlineStr">
        <is>
          <t>±abs</t>
        </is>
      </c>
      <c r="U16" s="20" t="n"/>
      <c r="V16" s="20" t="n">
        <v>10</v>
      </c>
      <c r="W16" s="20">
        <f>IF(AND(ISNUMBER(I16),ISNUMBER(J16)),I16-J16,"")</f>
        <v/>
      </c>
      <c r="X16" s="20">
        <f>IF(AND(ISNUMBER(I16),ISNUMBER(J16)),IF(J16=0,"",(I16-J16)/ABS(J16)),"")</f>
        <v/>
      </c>
      <c r="Y16" s="20">
        <f>IF(T16="Advisory","No pass mark",IF(T16="Manual","Claude will check",IF(I16="","Not done yet",IF(T16="Exact",IF(AND(ISNUMBER(I16),ISNUMBER(J16)),IF(ROUND(I16,2)=ROUND(J16,2),"Pass","Fail"),IF(TRIM(LOWER(I16&amp;""))=TRIM(LOWER(J16&amp;"")),"Pass","Fail")),IF(T16="Min",IF(I16&gt;=U16-1E-9,"Pass","Fail"),IF(T16="Between",IF(AND(I16&gt;=U16,I16&lt;=V16),"Pass","Fail"),IF(J16="","Not done yet",IF(T16="±%",IF(X16="","Check correct answer",IF(ABS(X16)*100&lt;=V16+1E-9,"Pass","Fail")),IF(T16="% range",IF(X16="","Check correct answer",IF(AND(X16*100&gt;=U16-1E-9,X16*100&lt;=V16+1E-9),"Pass","Fail")),IF(T16="±abs",IF(ABS(W16)&lt;=V16+1E-9,"Pass","Fail"),"Check type"))))))))))</f>
        <v/>
      </c>
    </row>
    <row r="17">
      <c r="A17" s="15" t="inlineStr">
        <is>
          <t>RP-009</t>
        </is>
      </c>
      <c r="B17" s="15" t="inlineStr">
        <is>
          <t>C</t>
        </is>
      </c>
      <c r="C17" s="15" t="inlineStr">
        <is>
          <t>Replay: Stage 4</t>
        </is>
      </c>
      <c r="D17" s="15" t="inlineStr">
        <is>
          <t>Quarter 2: planned vs reported % complete</t>
        </is>
      </c>
      <c r="E17" s="15" t="inlineStr">
        <is>
          <t>%</t>
        </is>
      </c>
      <c r="F17" s="15" t="inlineStr">
        <is>
          <t>Real</t>
        </is>
      </c>
      <c r="G17" s="15" t="inlineStr">
        <is>
          <t>RERA quarterly report</t>
        </is>
      </c>
      <c r="H17" s="15" t="inlineStr">
        <is>
          <t>Within ±10 percentage points</t>
        </is>
      </c>
      <c r="I17" s="16" t="n"/>
      <c r="J17" s="16" t="n"/>
      <c r="K17" s="16" t="n"/>
      <c r="L17" s="17">
        <f>IF(W17="","",W17)</f>
        <v/>
      </c>
      <c r="M17" s="18">
        <f>IF(O17&lt;&gt;"",O17,Y17)</f>
        <v/>
      </c>
      <c r="N17" s="16" t="n"/>
      <c r="O17" s="19" t="n"/>
      <c r="P17" s="19" t="n"/>
      <c r="Q17" s="19" t="n"/>
      <c r="R17" s="20" t="inlineStr">
        <is>
          <t>—</t>
        </is>
      </c>
      <c r="S17" s="20" t="inlineStr">
        <is>
          <t>n/a</t>
        </is>
      </c>
      <c r="T17" s="20" t="inlineStr">
        <is>
          <t>±abs</t>
        </is>
      </c>
      <c r="U17" s="20" t="n"/>
      <c r="V17" s="20" t="n">
        <v>10</v>
      </c>
      <c r="W17" s="20">
        <f>IF(AND(ISNUMBER(I17),ISNUMBER(J17)),I17-J17,"")</f>
        <v/>
      </c>
      <c r="X17" s="20">
        <f>IF(AND(ISNUMBER(I17),ISNUMBER(J17)),IF(J17=0,"",(I17-J17)/ABS(J17)),"")</f>
        <v/>
      </c>
      <c r="Y17" s="20">
        <f>IF(T17="Advisory","No pass mark",IF(T17="Manual","Claude will check",IF(I17="","Not done yet",IF(T17="Exact",IF(AND(ISNUMBER(I17),ISNUMBER(J17)),IF(ROUND(I17,2)=ROUND(J17,2),"Pass","Fail"),IF(TRIM(LOWER(I17&amp;""))=TRIM(LOWER(J17&amp;"")),"Pass","Fail")),IF(T17="Min",IF(I17&gt;=U17-1E-9,"Pass","Fail"),IF(T17="Between",IF(AND(I17&gt;=U17,I17&lt;=V17),"Pass","Fail"),IF(J17="","Not done yet",IF(T17="±%",IF(X17="","Check correct answer",IF(ABS(X17)*100&lt;=V17+1E-9,"Pass","Fail")),IF(T17="% range",IF(X17="","Check correct answer",IF(AND(X17*100&gt;=U17-1E-9,X17*100&lt;=V17+1E-9),"Pass","Fail")),IF(T17="±abs",IF(ABS(W17)&lt;=V17+1E-9,"Pass","Fail"),"Check type"))))))))))</f>
        <v/>
      </c>
    </row>
    <row r="18">
      <c r="A18" s="15" t="inlineStr">
        <is>
          <t>RP-010</t>
        </is>
      </c>
      <c r="B18" s="15" t="inlineStr">
        <is>
          <t>C</t>
        </is>
      </c>
      <c r="C18" s="15" t="inlineStr">
        <is>
          <t>Replay: Stage 4</t>
        </is>
      </c>
      <c r="D18" s="15" t="inlineStr">
        <is>
          <t>Quarter 3: planned vs reported % complete</t>
        </is>
      </c>
      <c r="E18" s="15" t="inlineStr">
        <is>
          <t>%</t>
        </is>
      </c>
      <c r="F18" s="15" t="inlineStr">
        <is>
          <t>Real</t>
        </is>
      </c>
      <c r="G18" s="15" t="inlineStr">
        <is>
          <t>RERA quarterly report</t>
        </is>
      </c>
      <c r="H18" s="15" t="inlineStr">
        <is>
          <t>Within ±10 percentage points</t>
        </is>
      </c>
      <c r="I18" s="16" t="n"/>
      <c r="J18" s="16" t="n"/>
      <c r="K18" s="16" t="n"/>
      <c r="L18" s="17">
        <f>IF(W18="","",W18)</f>
        <v/>
      </c>
      <c r="M18" s="18">
        <f>IF(O18&lt;&gt;"",O18,Y18)</f>
        <v/>
      </c>
      <c r="N18" s="16" t="n"/>
      <c r="O18" s="19" t="n"/>
      <c r="P18" s="19" t="n"/>
      <c r="Q18" s="19" t="n"/>
      <c r="R18" s="20" t="inlineStr">
        <is>
          <t>—</t>
        </is>
      </c>
      <c r="S18" s="20" t="inlineStr">
        <is>
          <t>n/a</t>
        </is>
      </c>
      <c r="T18" s="20" t="inlineStr">
        <is>
          <t>±abs</t>
        </is>
      </c>
      <c r="U18" s="20" t="n"/>
      <c r="V18" s="20" t="n">
        <v>10</v>
      </c>
      <c r="W18" s="20">
        <f>IF(AND(ISNUMBER(I18),ISNUMBER(J18)),I18-J18,"")</f>
        <v/>
      </c>
      <c r="X18" s="20">
        <f>IF(AND(ISNUMBER(I18),ISNUMBER(J18)),IF(J18=0,"",(I18-J18)/ABS(J18)),"")</f>
        <v/>
      </c>
      <c r="Y18" s="20">
        <f>IF(T18="Advisory","No pass mark",IF(T18="Manual","Claude will check",IF(I18="","Not done yet",IF(T18="Exact",IF(AND(ISNUMBER(I18),ISNUMBER(J18)),IF(ROUND(I18,2)=ROUND(J18,2),"Pass","Fail"),IF(TRIM(LOWER(I18&amp;""))=TRIM(LOWER(J18&amp;"")),"Pass","Fail")),IF(T18="Min",IF(I18&gt;=U18-1E-9,"Pass","Fail"),IF(T18="Between",IF(AND(I18&gt;=U18,I18&lt;=V18),"Pass","Fail"),IF(J18="","Not done yet",IF(T18="±%",IF(X18="","Check correct answer",IF(ABS(X18)*100&lt;=V18+1E-9,"Pass","Fail")),IF(T18="% range",IF(X18="","Check correct answer",IF(AND(X18*100&gt;=U18-1E-9,X18*100&lt;=V18+1E-9),"Pass","Fail")),IF(T18="±abs",IF(ABS(W18)&lt;=V18+1E-9,"Pass","Fail"),"Check type"))))))))))</f>
        <v/>
      </c>
    </row>
    <row r="19">
      <c r="A19" s="15" t="inlineStr">
        <is>
          <t>RP-011</t>
        </is>
      </c>
      <c r="B19" s="15" t="inlineStr">
        <is>
          <t>C</t>
        </is>
      </c>
      <c r="C19" s="15" t="inlineStr">
        <is>
          <t>Replay: Stage 4</t>
        </is>
      </c>
      <c r="D19" s="15" t="inlineStr">
        <is>
          <t>Quarter 4: planned vs reported % complete</t>
        </is>
      </c>
      <c r="E19" s="15" t="inlineStr">
        <is>
          <t>%</t>
        </is>
      </c>
      <c r="F19" s="15" t="inlineStr">
        <is>
          <t>Real</t>
        </is>
      </c>
      <c r="G19" s="15" t="inlineStr">
        <is>
          <t>RERA quarterly report</t>
        </is>
      </c>
      <c r="H19" s="15" t="inlineStr">
        <is>
          <t>Within ±10 percentage points</t>
        </is>
      </c>
      <c r="I19" s="16" t="n"/>
      <c r="J19" s="16" t="n"/>
      <c r="K19" s="16" t="n"/>
      <c r="L19" s="17">
        <f>IF(W19="","",W19)</f>
        <v/>
      </c>
      <c r="M19" s="18">
        <f>IF(O19&lt;&gt;"",O19,Y19)</f>
        <v/>
      </c>
      <c r="N19" s="16" t="n"/>
      <c r="O19" s="19" t="n"/>
      <c r="P19" s="19" t="n"/>
      <c r="Q19" s="19" t="n"/>
      <c r="R19" s="20" t="inlineStr">
        <is>
          <t>—</t>
        </is>
      </c>
      <c r="S19" s="20" t="inlineStr">
        <is>
          <t>n/a</t>
        </is>
      </c>
      <c r="T19" s="20" t="inlineStr">
        <is>
          <t>±abs</t>
        </is>
      </c>
      <c r="U19" s="20" t="n"/>
      <c r="V19" s="20" t="n">
        <v>10</v>
      </c>
      <c r="W19" s="20">
        <f>IF(AND(ISNUMBER(I19),ISNUMBER(J19)),I19-J19,"")</f>
        <v/>
      </c>
      <c r="X19" s="20">
        <f>IF(AND(ISNUMBER(I19),ISNUMBER(J19)),IF(J19=0,"",(I19-J19)/ABS(J19)),"")</f>
        <v/>
      </c>
      <c r="Y19" s="20">
        <f>IF(T19="Advisory","No pass mark",IF(T19="Manual","Claude will check",IF(I19="","Not done yet",IF(T19="Exact",IF(AND(ISNUMBER(I19),ISNUMBER(J19)),IF(ROUND(I19,2)=ROUND(J19,2),"Pass","Fail"),IF(TRIM(LOWER(I19&amp;""))=TRIM(LOWER(J19&amp;"")),"Pass","Fail")),IF(T19="Min",IF(I19&gt;=U19-1E-9,"Pass","Fail"),IF(T19="Between",IF(AND(I19&gt;=U19,I19&lt;=V19),"Pass","Fail"),IF(J19="","Not done yet",IF(T19="±%",IF(X19="","Check correct answer",IF(ABS(X19)*100&lt;=V19+1E-9,"Pass","Fail")),IF(T19="% range",IF(X19="","Check correct answer",IF(AND(X19*100&gt;=U19-1E-9,X19*100&lt;=V19+1E-9),"Pass","Fail")),IF(T19="±abs",IF(ABS(W19)&lt;=V19+1E-9,"Pass","Fail"),"Check type"))))))))))</f>
        <v/>
      </c>
    </row>
    <row r="20">
      <c r="A20" s="15" t="inlineStr">
        <is>
          <t>RP-012</t>
        </is>
      </c>
      <c r="B20" s="15" t="inlineStr">
        <is>
          <t>C</t>
        </is>
      </c>
      <c r="C20" s="15" t="inlineStr">
        <is>
          <t>Replay: Stage 5</t>
        </is>
      </c>
      <c r="D20" s="15" t="inlineStr">
        <is>
          <t>Compliance verdicts vs sanction</t>
        </is>
      </c>
      <c r="E20" s="15" t="inlineStr">
        <is>
          <t>rules</t>
        </is>
      </c>
      <c r="F20" s="15" t="inlineStr">
        <is>
          <t>Real</t>
        </is>
      </c>
      <c r="G20" s="15" t="inlineStr">
        <is>
          <t>Sanctioned plan</t>
        </is>
      </c>
      <c r="H20" s="15" t="inlineStr">
        <is>
          <t>Claude will check</t>
        </is>
      </c>
      <c r="I20" s="16" t="n"/>
      <c r="J20" s="16" t="n"/>
      <c r="K20" s="16" t="n"/>
      <c r="L20" s="17" t="n"/>
      <c r="M20" s="18">
        <f>IF(O20&lt;&gt;"",O20,Y20)</f>
        <v/>
      </c>
      <c r="N20" s="16" t="n"/>
      <c r="O20" s="19" t="n"/>
      <c r="P20" s="19" t="n"/>
      <c r="Q20" s="19" t="n"/>
      <c r="R20" s="20" t="inlineStr">
        <is>
          <t>—</t>
        </is>
      </c>
      <c r="S20" s="20" t="inlineStr">
        <is>
          <t>NBC 2016</t>
        </is>
      </c>
      <c r="T20" s="20" t="inlineStr">
        <is>
          <t>Manual</t>
        </is>
      </c>
      <c r="U20" s="20" t="n"/>
      <c r="V20" s="20" t="n"/>
      <c r="W20" s="20">
        <f>IF(AND(ISNUMBER(I20),ISNUMBER(J20)),I20-J20,"")</f>
        <v/>
      </c>
      <c r="X20" s="20">
        <f>IF(AND(ISNUMBER(I20),ISNUMBER(J20)),IF(J20=0,"",(I20-J20)/ABS(J20)),"")</f>
        <v/>
      </c>
      <c r="Y20" s="20">
        <f>IF(T20="Advisory","No pass mark",IF(T20="Manual","Claude will check",IF(I20="","Not done yet",IF(T20="Exact",IF(AND(ISNUMBER(I20),ISNUMBER(J20)),IF(ROUND(I20,2)=ROUND(J20,2),"Pass","Fail"),IF(TRIM(LOWER(I20&amp;""))=TRIM(LOWER(J20&amp;"")),"Pass","Fail")),IF(T20="Min",IF(I20&gt;=U20-1E-9,"Pass","Fail"),IF(T20="Between",IF(AND(I20&gt;=U20,I20&lt;=V20),"Pass","Fail"),IF(J20="","Not done yet",IF(T20="±%",IF(X20="","Check correct answer",IF(ABS(X20)*100&lt;=V20+1E-9,"Pass","Fail")),IF(T20="% range",IF(X20="","Check correct answer",IF(AND(X20*100&gt;=U20-1E-9,X20*100&lt;=V20+1E-9),"Pass","Fail")),IF(T20="±abs",IF(ABS(W20)&lt;=V20+1E-9,"Pass","Fail"),"Check type"))))))))))</f>
        <v/>
      </c>
    </row>
  </sheetData>
  <autoFilter ref="A5:Q20"/>
  <mergeCells count="1">
    <mergeCell ref="A2:N3"/>
  </mergeCells>
  <conditionalFormatting sqref="M6:M120">
    <cfRule type="cellIs" priority="1" operator="equal" dxfId="1">
      <formula>"Pass"</formula>
    </cfRule>
    <cfRule type="cellIs" priority="2" operator="equal" dxfId="2">
      <formula>"Fail"</formula>
    </cfRule>
  </conditionalFormatting>
  <dataValidations count="3">
    <dataValidation sqref="I7" showDropDown="0" showInputMessage="0" showErrorMessage="0" allowBlank="1" type="list">
      <formula1>"Yes,No"</formula1>
    </dataValidation>
    <dataValidation sqref="O6:O120" showDropDown="0" showInputMessage="0" showErrorMessage="0" allowBlank="1" type="list">
      <formula1>"Pass,Fail,Not tested"</formula1>
    </dataValidation>
    <dataValidation sqref="Q6:Q120" showDropDown="0" showInputMessage="0" showErrorMessage="0" allowBlank="1" type="list">
      <formula1>"App bug (our code),We entered wrong input,Measured a different way,Not sure the book/RERA value is right,Limit of the app's method"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44" customWidth="1" min="3" max="3"/>
    <col width="36" customWidth="1" min="4" max="4"/>
    <col width="16" customWidth="1" min="5" max="5"/>
    <col width="40" customWidth="1" min="6" max="6"/>
    <col width="18" customWidth="1" min="7" max="7"/>
    <col width="16" customWidth="1" min="8" max="8"/>
    <col width="12" customWidth="1" min="9" max="9"/>
    <col width="12" customWidth="1" min="10" max="10"/>
    <col width="15" customWidth="1" min="11" max="11"/>
    <col width="12" customWidth="1" min="12" max="12"/>
    <col width="9" customWidth="1" min="13" max="13"/>
  </cols>
  <sheetData>
    <row r="1">
      <c r="A1" s="4" t="inlineStr">
        <is>
          <t>AI consultant: 150 test questions</t>
        </is>
      </c>
    </row>
    <row r="2" ht="30" customHeight="1">
      <c r="A2" s="10" t="inlineStr">
        <is>
          <t>C writes the questions (weeks 5 to 9). In Stage 5, ask the app each one and paste its answer. A and B grade separately: Correct, Partly correct (counts as wrong) or Wrong. Must refuse: Correct = the app said it can't answer. Tricky: Correct = gives the NBC 2016 value AND says SP 7:2026 replaced it. If A and B disagree, the supervisor decides.</t>
        </is>
      </c>
    </row>
    <row r="3" ht="30" customHeight="1"/>
    <row r="5" ht="55" customHeight="1">
      <c r="A5" s="6" t="inlineStr">
        <is>
          <t>#</t>
        </is>
      </c>
      <c r="B5" s="6" t="inlineStr">
        <is>
          <t>Type</t>
        </is>
      </c>
      <c r="C5" s="6" t="inlineStr">
        <is>
          <t>Question</t>
        </is>
      </c>
      <c r="D5" s="6" t="inlineStr">
        <is>
          <t>Correct answer</t>
        </is>
      </c>
      <c r="E5" s="6" t="inlineStr">
        <is>
          <t>Correct clause</t>
        </is>
      </c>
      <c r="F5" s="6" t="inlineStr">
        <is>
          <t>App's answer</t>
        </is>
      </c>
      <c r="G5" s="6" t="inlineStr">
        <is>
          <t>Clause the app quoted</t>
        </is>
      </c>
      <c r="H5" s="6" t="inlineStr">
        <is>
          <t>Does that clause really exist? (check the code book)</t>
        </is>
      </c>
      <c r="I5" s="6" t="inlineStr">
        <is>
          <t>Grade by A</t>
        </is>
      </c>
      <c r="J5" s="6" t="inlineStr">
        <is>
          <t>Grade by B</t>
        </is>
      </c>
      <c r="K5" s="6" t="inlineStr">
        <is>
          <t>Supervisor's grade (only if A and B differ)</t>
        </is>
      </c>
      <c r="L5" s="6" t="inlineStr">
        <is>
          <t>Final grade</t>
        </is>
      </c>
      <c r="M5" s="6" t="inlineStr">
        <is>
          <t>A and B agree?</t>
        </is>
      </c>
    </row>
    <row r="6">
      <c r="A6" s="15" t="n">
        <v>1</v>
      </c>
      <c r="B6" s="15" t="inlineStr">
        <is>
          <t>Answerable</t>
        </is>
      </c>
      <c r="C6" s="16" t="n"/>
      <c r="D6" s="16" t="n"/>
      <c r="E6" s="16" t="n"/>
      <c r="F6" s="16" t="n"/>
      <c r="G6" s="16" t="n"/>
      <c r="H6" s="16" t="n"/>
      <c r="I6" s="16" t="n"/>
      <c r="J6" s="16" t="n"/>
      <c r="K6" s="19" t="n"/>
      <c r="L6" s="20">
        <f>IF(OR(I6="",J6=""),"",IF(I6=J6,I6,IF(K6="","Supervisor to decide",K6)))</f>
        <v/>
      </c>
      <c r="M6" s="20">
        <f>IF(OR(I6="",J6=""),"",IF(I6=J6,1,0))</f>
        <v/>
      </c>
    </row>
    <row r="7">
      <c r="A7" s="15" t="n">
        <v>2</v>
      </c>
      <c r="B7" s="15" t="inlineStr">
        <is>
          <t>Answerable</t>
        </is>
      </c>
      <c r="C7" s="16" t="n"/>
      <c r="D7" s="16" t="n"/>
      <c r="E7" s="16" t="n"/>
      <c r="F7" s="16" t="n"/>
      <c r="G7" s="16" t="n"/>
      <c r="H7" s="16" t="n"/>
      <c r="I7" s="16" t="n"/>
      <c r="J7" s="16" t="n"/>
      <c r="K7" s="19" t="n"/>
      <c r="L7" s="20">
        <f>IF(OR(I7="",J7=""),"",IF(I7=J7,I7,IF(K7="","Supervisor to decide",K7)))</f>
        <v/>
      </c>
      <c r="M7" s="20">
        <f>IF(OR(I7="",J7=""),"",IF(I7=J7,1,0))</f>
        <v/>
      </c>
    </row>
    <row r="8">
      <c r="A8" s="15" t="n">
        <v>3</v>
      </c>
      <c r="B8" s="15" t="inlineStr">
        <is>
          <t>Answerable</t>
        </is>
      </c>
      <c r="C8" s="16" t="n"/>
      <c r="D8" s="16" t="n"/>
      <c r="E8" s="16" t="n"/>
      <c r="F8" s="16" t="n"/>
      <c r="G8" s="16" t="n"/>
      <c r="H8" s="16" t="n"/>
      <c r="I8" s="16" t="n"/>
      <c r="J8" s="16" t="n"/>
      <c r="K8" s="19" t="n"/>
      <c r="L8" s="20">
        <f>IF(OR(I8="",J8=""),"",IF(I8=J8,I8,IF(K8="","Supervisor to decide",K8)))</f>
        <v/>
      </c>
      <c r="M8" s="20">
        <f>IF(OR(I8="",J8=""),"",IF(I8=J8,1,0))</f>
        <v/>
      </c>
    </row>
    <row r="9">
      <c r="A9" s="15" t="n">
        <v>4</v>
      </c>
      <c r="B9" s="15" t="inlineStr">
        <is>
          <t>Answerable</t>
        </is>
      </c>
      <c r="C9" s="16" t="n"/>
      <c r="D9" s="16" t="n"/>
      <c r="E9" s="16" t="n"/>
      <c r="F9" s="16" t="n"/>
      <c r="G9" s="16" t="n"/>
      <c r="H9" s="16" t="n"/>
      <c r="I9" s="16" t="n"/>
      <c r="J9" s="16" t="n"/>
      <c r="K9" s="19" t="n"/>
      <c r="L9" s="20">
        <f>IF(OR(I9="",J9=""),"",IF(I9=J9,I9,IF(K9="","Supervisor to decide",K9)))</f>
        <v/>
      </c>
      <c r="M9" s="20">
        <f>IF(OR(I9="",J9=""),"",IF(I9=J9,1,0))</f>
        <v/>
      </c>
    </row>
    <row r="10">
      <c r="A10" s="15" t="n">
        <v>5</v>
      </c>
      <c r="B10" s="15" t="inlineStr">
        <is>
          <t>Answerable</t>
        </is>
      </c>
      <c r="C10" s="16" t="n"/>
      <c r="D10" s="16" t="n"/>
      <c r="E10" s="16" t="n"/>
      <c r="F10" s="16" t="n"/>
      <c r="G10" s="16" t="n"/>
      <c r="H10" s="16" t="n"/>
      <c r="I10" s="16" t="n"/>
      <c r="J10" s="16" t="n"/>
      <c r="K10" s="19" t="n"/>
      <c r="L10" s="20">
        <f>IF(OR(I10="",J10=""),"",IF(I10=J10,I10,IF(K10="","Supervisor to decide",K10)))</f>
        <v/>
      </c>
      <c r="M10" s="20">
        <f>IF(OR(I10="",J10=""),"",IF(I10=J10,1,0))</f>
        <v/>
      </c>
    </row>
    <row r="11">
      <c r="A11" s="15" t="n">
        <v>6</v>
      </c>
      <c r="B11" s="15" t="inlineStr">
        <is>
          <t>Answerable</t>
        </is>
      </c>
      <c r="C11" s="16" t="n"/>
      <c r="D11" s="16" t="n"/>
      <c r="E11" s="16" t="n"/>
      <c r="F11" s="16" t="n"/>
      <c r="G11" s="16" t="n"/>
      <c r="H11" s="16" t="n"/>
      <c r="I11" s="16" t="n"/>
      <c r="J11" s="16" t="n"/>
      <c r="K11" s="19" t="n"/>
      <c r="L11" s="20">
        <f>IF(OR(I11="",J11=""),"",IF(I11=J11,I11,IF(K11="","Supervisor to decide",K11)))</f>
        <v/>
      </c>
      <c r="M11" s="20">
        <f>IF(OR(I11="",J11=""),"",IF(I11=J11,1,0))</f>
        <v/>
      </c>
    </row>
    <row r="12">
      <c r="A12" s="15" t="n">
        <v>7</v>
      </c>
      <c r="B12" s="15" t="inlineStr">
        <is>
          <t>Answerable</t>
        </is>
      </c>
      <c r="C12" s="16" t="n"/>
      <c r="D12" s="16" t="n"/>
      <c r="E12" s="16" t="n"/>
      <c r="F12" s="16" t="n"/>
      <c r="G12" s="16" t="n"/>
      <c r="H12" s="16" t="n"/>
      <c r="I12" s="16" t="n"/>
      <c r="J12" s="16" t="n"/>
      <c r="K12" s="19" t="n"/>
      <c r="L12" s="20">
        <f>IF(OR(I12="",J12=""),"",IF(I12=J12,I12,IF(K12="","Supervisor to decide",K12)))</f>
        <v/>
      </c>
      <c r="M12" s="20">
        <f>IF(OR(I12="",J12=""),"",IF(I12=J12,1,0))</f>
        <v/>
      </c>
    </row>
    <row r="13">
      <c r="A13" s="15" t="n">
        <v>8</v>
      </c>
      <c r="B13" s="15" t="inlineStr">
        <is>
          <t>Answerable</t>
        </is>
      </c>
      <c r="C13" s="16" t="n"/>
      <c r="D13" s="16" t="n"/>
      <c r="E13" s="16" t="n"/>
      <c r="F13" s="16" t="n"/>
      <c r="G13" s="16" t="n"/>
      <c r="H13" s="16" t="n"/>
      <c r="I13" s="16" t="n"/>
      <c r="J13" s="16" t="n"/>
      <c r="K13" s="19" t="n"/>
      <c r="L13" s="20">
        <f>IF(OR(I13="",J13=""),"",IF(I13=J13,I13,IF(K13="","Supervisor to decide",K13)))</f>
        <v/>
      </c>
      <c r="M13" s="20">
        <f>IF(OR(I13="",J13=""),"",IF(I13=J13,1,0))</f>
        <v/>
      </c>
    </row>
    <row r="14">
      <c r="A14" s="15" t="n">
        <v>9</v>
      </c>
      <c r="B14" s="15" t="inlineStr">
        <is>
          <t>Answerable</t>
        </is>
      </c>
      <c r="C14" s="16" t="n"/>
      <c r="D14" s="16" t="n"/>
      <c r="E14" s="16" t="n"/>
      <c r="F14" s="16" t="n"/>
      <c r="G14" s="16" t="n"/>
      <c r="H14" s="16" t="n"/>
      <c r="I14" s="16" t="n"/>
      <c r="J14" s="16" t="n"/>
      <c r="K14" s="19" t="n"/>
      <c r="L14" s="20">
        <f>IF(OR(I14="",J14=""),"",IF(I14=J14,I14,IF(K14="","Supervisor to decide",K14)))</f>
        <v/>
      </c>
      <c r="M14" s="20">
        <f>IF(OR(I14="",J14=""),"",IF(I14=J14,1,0))</f>
        <v/>
      </c>
    </row>
    <row r="15">
      <c r="A15" s="15" t="n">
        <v>10</v>
      </c>
      <c r="B15" s="15" t="inlineStr">
        <is>
          <t>Answerable</t>
        </is>
      </c>
      <c r="C15" s="16" t="n"/>
      <c r="D15" s="16" t="n"/>
      <c r="E15" s="16" t="n"/>
      <c r="F15" s="16" t="n"/>
      <c r="G15" s="16" t="n"/>
      <c r="H15" s="16" t="n"/>
      <c r="I15" s="16" t="n"/>
      <c r="J15" s="16" t="n"/>
      <c r="K15" s="19" t="n"/>
      <c r="L15" s="20">
        <f>IF(OR(I15="",J15=""),"",IF(I15=J15,I15,IF(K15="","Supervisor to decide",K15)))</f>
        <v/>
      </c>
      <c r="M15" s="20">
        <f>IF(OR(I15="",J15=""),"",IF(I15=J15,1,0))</f>
        <v/>
      </c>
    </row>
    <row r="16">
      <c r="A16" s="15" t="n">
        <v>11</v>
      </c>
      <c r="B16" s="15" t="inlineStr">
        <is>
          <t>Answerable</t>
        </is>
      </c>
      <c r="C16" s="16" t="n"/>
      <c r="D16" s="16" t="n"/>
      <c r="E16" s="16" t="n"/>
      <c r="F16" s="16" t="n"/>
      <c r="G16" s="16" t="n"/>
      <c r="H16" s="16" t="n"/>
      <c r="I16" s="16" t="n"/>
      <c r="J16" s="16" t="n"/>
      <c r="K16" s="19" t="n"/>
      <c r="L16" s="20">
        <f>IF(OR(I16="",J16=""),"",IF(I16=J16,I16,IF(K16="","Supervisor to decide",K16)))</f>
        <v/>
      </c>
      <c r="M16" s="20">
        <f>IF(OR(I16="",J16=""),"",IF(I16=J16,1,0))</f>
        <v/>
      </c>
    </row>
    <row r="17">
      <c r="A17" s="15" t="n">
        <v>12</v>
      </c>
      <c r="B17" s="15" t="inlineStr">
        <is>
          <t>Answerable</t>
        </is>
      </c>
      <c r="C17" s="16" t="n"/>
      <c r="D17" s="16" t="n"/>
      <c r="E17" s="16" t="n"/>
      <c r="F17" s="16" t="n"/>
      <c r="G17" s="16" t="n"/>
      <c r="H17" s="16" t="n"/>
      <c r="I17" s="16" t="n"/>
      <c r="J17" s="16" t="n"/>
      <c r="K17" s="19" t="n"/>
      <c r="L17" s="20">
        <f>IF(OR(I17="",J17=""),"",IF(I17=J17,I17,IF(K17="","Supervisor to decide",K17)))</f>
        <v/>
      </c>
      <c r="M17" s="20">
        <f>IF(OR(I17="",J17=""),"",IF(I17=J17,1,0))</f>
        <v/>
      </c>
    </row>
    <row r="18">
      <c r="A18" s="15" t="n">
        <v>13</v>
      </c>
      <c r="B18" s="15" t="inlineStr">
        <is>
          <t>Answerable</t>
        </is>
      </c>
      <c r="C18" s="16" t="n"/>
      <c r="D18" s="16" t="n"/>
      <c r="E18" s="16" t="n"/>
      <c r="F18" s="16" t="n"/>
      <c r="G18" s="16" t="n"/>
      <c r="H18" s="16" t="n"/>
      <c r="I18" s="16" t="n"/>
      <c r="J18" s="16" t="n"/>
      <c r="K18" s="19" t="n"/>
      <c r="L18" s="20">
        <f>IF(OR(I18="",J18=""),"",IF(I18=J18,I18,IF(K18="","Supervisor to decide",K18)))</f>
        <v/>
      </c>
      <c r="M18" s="20">
        <f>IF(OR(I18="",J18=""),"",IF(I18=J18,1,0))</f>
        <v/>
      </c>
    </row>
    <row r="19">
      <c r="A19" s="15" t="n">
        <v>14</v>
      </c>
      <c r="B19" s="15" t="inlineStr">
        <is>
          <t>Answerable</t>
        </is>
      </c>
      <c r="C19" s="16" t="n"/>
      <c r="D19" s="16" t="n"/>
      <c r="E19" s="16" t="n"/>
      <c r="F19" s="16" t="n"/>
      <c r="G19" s="16" t="n"/>
      <c r="H19" s="16" t="n"/>
      <c r="I19" s="16" t="n"/>
      <c r="J19" s="16" t="n"/>
      <c r="K19" s="19" t="n"/>
      <c r="L19" s="20">
        <f>IF(OR(I19="",J19=""),"",IF(I19=J19,I19,IF(K19="","Supervisor to decide",K19)))</f>
        <v/>
      </c>
      <c r="M19" s="20">
        <f>IF(OR(I19="",J19=""),"",IF(I19=J19,1,0))</f>
        <v/>
      </c>
    </row>
    <row r="20">
      <c r="A20" s="15" t="n">
        <v>15</v>
      </c>
      <c r="B20" s="15" t="inlineStr">
        <is>
          <t>Answerable</t>
        </is>
      </c>
      <c r="C20" s="16" t="n"/>
      <c r="D20" s="16" t="n"/>
      <c r="E20" s="16" t="n"/>
      <c r="F20" s="16" t="n"/>
      <c r="G20" s="16" t="n"/>
      <c r="H20" s="16" t="n"/>
      <c r="I20" s="16" t="n"/>
      <c r="J20" s="16" t="n"/>
      <c r="K20" s="19" t="n"/>
      <c r="L20" s="20">
        <f>IF(OR(I20="",J20=""),"",IF(I20=J20,I20,IF(K20="","Supervisor to decide",K20)))</f>
        <v/>
      </c>
      <c r="M20" s="20">
        <f>IF(OR(I20="",J20=""),"",IF(I20=J20,1,0))</f>
        <v/>
      </c>
    </row>
    <row r="21">
      <c r="A21" s="15" t="n">
        <v>16</v>
      </c>
      <c r="B21" s="15" t="inlineStr">
        <is>
          <t>Answerable</t>
        </is>
      </c>
      <c r="C21" s="16" t="n"/>
      <c r="D21" s="16" t="n"/>
      <c r="E21" s="16" t="n"/>
      <c r="F21" s="16" t="n"/>
      <c r="G21" s="16" t="n"/>
      <c r="H21" s="16" t="n"/>
      <c r="I21" s="16" t="n"/>
      <c r="J21" s="16" t="n"/>
      <c r="K21" s="19" t="n"/>
      <c r="L21" s="20">
        <f>IF(OR(I21="",J21=""),"",IF(I21=J21,I21,IF(K21="","Supervisor to decide",K21)))</f>
        <v/>
      </c>
      <c r="M21" s="20">
        <f>IF(OR(I21="",J21=""),"",IF(I21=J21,1,0))</f>
        <v/>
      </c>
    </row>
    <row r="22">
      <c r="A22" s="15" t="n">
        <v>17</v>
      </c>
      <c r="B22" s="15" t="inlineStr">
        <is>
          <t>Answerable</t>
        </is>
      </c>
      <c r="C22" s="16" t="n"/>
      <c r="D22" s="16" t="n"/>
      <c r="E22" s="16" t="n"/>
      <c r="F22" s="16" t="n"/>
      <c r="G22" s="16" t="n"/>
      <c r="H22" s="16" t="n"/>
      <c r="I22" s="16" t="n"/>
      <c r="J22" s="16" t="n"/>
      <c r="K22" s="19" t="n"/>
      <c r="L22" s="20">
        <f>IF(OR(I22="",J22=""),"",IF(I22=J22,I22,IF(K22="","Supervisor to decide",K22)))</f>
        <v/>
      </c>
      <c r="M22" s="20">
        <f>IF(OR(I22="",J22=""),"",IF(I22=J22,1,0))</f>
        <v/>
      </c>
    </row>
    <row r="23">
      <c r="A23" s="15" t="n">
        <v>18</v>
      </c>
      <c r="B23" s="15" t="inlineStr">
        <is>
          <t>Answerable</t>
        </is>
      </c>
      <c r="C23" s="16" t="n"/>
      <c r="D23" s="16" t="n"/>
      <c r="E23" s="16" t="n"/>
      <c r="F23" s="16" t="n"/>
      <c r="G23" s="16" t="n"/>
      <c r="H23" s="16" t="n"/>
      <c r="I23" s="16" t="n"/>
      <c r="J23" s="16" t="n"/>
      <c r="K23" s="19" t="n"/>
      <c r="L23" s="20">
        <f>IF(OR(I23="",J23=""),"",IF(I23=J23,I23,IF(K23="","Supervisor to decide",K23)))</f>
        <v/>
      </c>
      <c r="M23" s="20">
        <f>IF(OR(I23="",J23=""),"",IF(I23=J23,1,0))</f>
        <v/>
      </c>
    </row>
    <row r="24">
      <c r="A24" s="15" t="n">
        <v>19</v>
      </c>
      <c r="B24" s="15" t="inlineStr">
        <is>
          <t>Answerable</t>
        </is>
      </c>
      <c r="C24" s="16" t="n"/>
      <c r="D24" s="16" t="n"/>
      <c r="E24" s="16" t="n"/>
      <c r="F24" s="16" t="n"/>
      <c r="G24" s="16" t="n"/>
      <c r="H24" s="16" t="n"/>
      <c r="I24" s="16" t="n"/>
      <c r="J24" s="16" t="n"/>
      <c r="K24" s="19" t="n"/>
      <c r="L24" s="20">
        <f>IF(OR(I24="",J24=""),"",IF(I24=J24,I24,IF(K24="","Supervisor to decide",K24)))</f>
        <v/>
      </c>
      <c r="M24" s="20">
        <f>IF(OR(I24="",J24=""),"",IF(I24=J24,1,0))</f>
        <v/>
      </c>
    </row>
    <row r="25">
      <c r="A25" s="15" t="n">
        <v>20</v>
      </c>
      <c r="B25" s="15" t="inlineStr">
        <is>
          <t>Answerable</t>
        </is>
      </c>
      <c r="C25" s="16" t="n"/>
      <c r="D25" s="16" t="n"/>
      <c r="E25" s="16" t="n"/>
      <c r="F25" s="16" t="n"/>
      <c r="G25" s="16" t="n"/>
      <c r="H25" s="16" t="n"/>
      <c r="I25" s="16" t="n"/>
      <c r="J25" s="16" t="n"/>
      <c r="K25" s="19" t="n"/>
      <c r="L25" s="20">
        <f>IF(OR(I25="",J25=""),"",IF(I25=J25,I25,IF(K25="","Supervisor to decide",K25)))</f>
        <v/>
      </c>
      <c r="M25" s="20">
        <f>IF(OR(I25="",J25=""),"",IF(I25=J25,1,0))</f>
        <v/>
      </c>
    </row>
    <row r="26">
      <c r="A26" s="15" t="n">
        <v>21</v>
      </c>
      <c r="B26" s="15" t="inlineStr">
        <is>
          <t>Answerable</t>
        </is>
      </c>
      <c r="C26" s="16" t="n"/>
      <c r="D26" s="16" t="n"/>
      <c r="E26" s="16" t="n"/>
      <c r="F26" s="16" t="n"/>
      <c r="G26" s="16" t="n"/>
      <c r="H26" s="16" t="n"/>
      <c r="I26" s="16" t="n"/>
      <c r="J26" s="16" t="n"/>
      <c r="K26" s="19" t="n"/>
      <c r="L26" s="20">
        <f>IF(OR(I26="",J26=""),"",IF(I26=J26,I26,IF(K26="","Supervisor to decide",K26)))</f>
        <v/>
      </c>
      <c r="M26" s="20">
        <f>IF(OR(I26="",J26=""),"",IF(I26=J26,1,0))</f>
        <v/>
      </c>
    </row>
    <row r="27">
      <c r="A27" s="15" t="n">
        <v>22</v>
      </c>
      <c r="B27" s="15" t="inlineStr">
        <is>
          <t>Answerable</t>
        </is>
      </c>
      <c r="C27" s="16" t="n"/>
      <c r="D27" s="16" t="n"/>
      <c r="E27" s="16" t="n"/>
      <c r="F27" s="16" t="n"/>
      <c r="G27" s="16" t="n"/>
      <c r="H27" s="16" t="n"/>
      <c r="I27" s="16" t="n"/>
      <c r="J27" s="16" t="n"/>
      <c r="K27" s="19" t="n"/>
      <c r="L27" s="20">
        <f>IF(OR(I27="",J27=""),"",IF(I27=J27,I27,IF(K27="","Supervisor to decide",K27)))</f>
        <v/>
      </c>
      <c r="M27" s="20">
        <f>IF(OR(I27="",J27=""),"",IF(I27=J27,1,0))</f>
        <v/>
      </c>
    </row>
    <row r="28">
      <c r="A28" s="15" t="n">
        <v>23</v>
      </c>
      <c r="B28" s="15" t="inlineStr">
        <is>
          <t>Answerable</t>
        </is>
      </c>
      <c r="C28" s="16" t="n"/>
      <c r="D28" s="16" t="n"/>
      <c r="E28" s="16" t="n"/>
      <c r="F28" s="16" t="n"/>
      <c r="G28" s="16" t="n"/>
      <c r="H28" s="16" t="n"/>
      <c r="I28" s="16" t="n"/>
      <c r="J28" s="16" t="n"/>
      <c r="K28" s="19" t="n"/>
      <c r="L28" s="20">
        <f>IF(OR(I28="",J28=""),"",IF(I28=J28,I28,IF(K28="","Supervisor to decide",K28)))</f>
        <v/>
      </c>
      <c r="M28" s="20">
        <f>IF(OR(I28="",J28=""),"",IF(I28=J28,1,0))</f>
        <v/>
      </c>
    </row>
    <row r="29">
      <c r="A29" s="15" t="n">
        <v>24</v>
      </c>
      <c r="B29" s="15" t="inlineStr">
        <is>
          <t>Answerable</t>
        </is>
      </c>
      <c r="C29" s="16" t="n"/>
      <c r="D29" s="16" t="n"/>
      <c r="E29" s="16" t="n"/>
      <c r="F29" s="16" t="n"/>
      <c r="G29" s="16" t="n"/>
      <c r="H29" s="16" t="n"/>
      <c r="I29" s="16" t="n"/>
      <c r="J29" s="16" t="n"/>
      <c r="K29" s="19" t="n"/>
      <c r="L29" s="20">
        <f>IF(OR(I29="",J29=""),"",IF(I29=J29,I29,IF(K29="","Supervisor to decide",K29)))</f>
        <v/>
      </c>
      <c r="M29" s="20">
        <f>IF(OR(I29="",J29=""),"",IF(I29=J29,1,0))</f>
        <v/>
      </c>
    </row>
    <row r="30">
      <c r="A30" s="15" t="n">
        <v>25</v>
      </c>
      <c r="B30" s="15" t="inlineStr">
        <is>
          <t>Answerable</t>
        </is>
      </c>
      <c r="C30" s="16" t="n"/>
      <c r="D30" s="16" t="n"/>
      <c r="E30" s="16" t="n"/>
      <c r="F30" s="16" t="n"/>
      <c r="G30" s="16" t="n"/>
      <c r="H30" s="16" t="n"/>
      <c r="I30" s="16" t="n"/>
      <c r="J30" s="16" t="n"/>
      <c r="K30" s="19" t="n"/>
      <c r="L30" s="20">
        <f>IF(OR(I30="",J30=""),"",IF(I30=J30,I30,IF(K30="","Supervisor to decide",K30)))</f>
        <v/>
      </c>
      <c r="M30" s="20">
        <f>IF(OR(I30="",J30=""),"",IF(I30=J30,1,0))</f>
        <v/>
      </c>
    </row>
    <row r="31">
      <c r="A31" s="15" t="n">
        <v>26</v>
      </c>
      <c r="B31" s="15" t="inlineStr">
        <is>
          <t>Answerable</t>
        </is>
      </c>
      <c r="C31" s="16" t="n"/>
      <c r="D31" s="16" t="n"/>
      <c r="E31" s="16" t="n"/>
      <c r="F31" s="16" t="n"/>
      <c r="G31" s="16" t="n"/>
      <c r="H31" s="16" t="n"/>
      <c r="I31" s="16" t="n"/>
      <c r="J31" s="16" t="n"/>
      <c r="K31" s="19" t="n"/>
      <c r="L31" s="20">
        <f>IF(OR(I31="",J31=""),"",IF(I31=J31,I31,IF(K31="","Supervisor to decide",K31)))</f>
        <v/>
      </c>
      <c r="M31" s="20">
        <f>IF(OR(I31="",J31=""),"",IF(I31=J31,1,0))</f>
        <v/>
      </c>
    </row>
    <row r="32">
      <c r="A32" s="15" t="n">
        <v>27</v>
      </c>
      <c r="B32" s="15" t="inlineStr">
        <is>
          <t>Answerable</t>
        </is>
      </c>
      <c r="C32" s="16" t="n"/>
      <c r="D32" s="16" t="n"/>
      <c r="E32" s="16" t="n"/>
      <c r="F32" s="16" t="n"/>
      <c r="G32" s="16" t="n"/>
      <c r="H32" s="16" t="n"/>
      <c r="I32" s="16" t="n"/>
      <c r="J32" s="16" t="n"/>
      <c r="K32" s="19" t="n"/>
      <c r="L32" s="20">
        <f>IF(OR(I32="",J32=""),"",IF(I32=J32,I32,IF(K32="","Supervisor to decide",K32)))</f>
        <v/>
      </c>
      <c r="M32" s="20">
        <f>IF(OR(I32="",J32=""),"",IF(I32=J32,1,0))</f>
        <v/>
      </c>
    </row>
    <row r="33">
      <c r="A33" s="15" t="n">
        <v>28</v>
      </c>
      <c r="B33" s="15" t="inlineStr">
        <is>
          <t>Answerable</t>
        </is>
      </c>
      <c r="C33" s="16" t="n"/>
      <c r="D33" s="16" t="n"/>
      <c r="E33" s="16" t="n"/>
      <c r="F33" s="16" t="n"/>
      <c r="G33" s="16" t="n"/>
      <c r="H33" s="16" t="n"/>
      <c r="I33" s="16" t="n"/>
      <c r="J33" s="16" t="n"/>
      <c r="K33" s="19" t="n"/>
      <c r="L33" s="20">
        <f>IF(OR(I33="",J33=""),"",IF(I33=J33,I33,IF(K33="","Supervisor to decide",K33)))</f>
        <v/>
      </c>
      <c r="M33" s="20">
        <f>IF(OR(I33="",J33=""),"",IF(I33=J33,1,0))</f>
        <v/>
      </c>
    </row>
    <row r="34">
      <c r="A34" s="15" t="n">
        <v>29</v>
      </c>
      <c r="B34" s="15" t="inlineStr">
        <is>
          <t>Answerable</t>
        </is>
      </c>
      <c r="C34" s="16" t="n"/>
      <c r="D34" s="16" t="n"/>
      <c r="E34" s="16" t="n"/>
      <c r="F34" s="16" t="n"/>
      <c r="G34" s="16" t="n"/>
      <c r="H34" s="16" t="n"/>
      <c r="I34" s="16" t="n"/>
      <c r="J34" s="16" t="n"/>
      <c r="K34" s="19" t="n"/>
      <c r="L34" s="20">
        <f>IF(OR(I34="",J34=""),"",IF(I34=J34,I34,IF(K34="","Supervisor to decide",K34)))</f>
        <v/>
      </c>
      <c r="M34" s="20">
        <f>IF(OR(I34="",J34=""),"",IF(I34=J34,1,0))</f>
        <v/>
      </c>
    </row>
    <row r="35">
      <c r="A35" s="15" t="n">
        <v>30</v>
      </c>
      <c r="B35" s="15" t="inlineStr">
        <is>
          <t>Answerable</t>
        </is>
      </c>
      <c r="C35" s="16" t="n"/>
      <c r="D35" s="16" t="n"/>
      <c r="E35" s="16" t="n"/>
      <c r="F35" s="16" t="n"/>
      <c r="G35" s="16" t="n"/>
      <c r="H35" s="16" t="n"/>
      <c r="I35" s="16" t="n"/>
      <c r="J35" s="16" t="n"/>
      <c r="K35" s="19" t="n"/>
      <c r="L35" s="20">
        <f>IF(OR(I35="",J35=""),"",IF(I35=J35,I35,IF(K35="","Supervisor to decide",K35)))</f>
        <v/>
      </c>
      <c r="M35" s="20">
        <f>IF(OR(I35="",J35=""),"",IF(I35=J35,1,0))</f>
        <v/>
      </c>
    </row>
    <row r="36">
      <c r="A36" s="15" t="n">
        <v>31</v>
      </c>
      <c r="B36" s="15" t="inlineStr">
        <is>
          <t>Answerable</t>
        </is>
      </c>
      <c r="C36" s="16" t="n"/>
      <c r="D36" s="16" t="n"/>
      <c r="E36" s="16" t="n"/>
      <c r="F36" s="16" t="n"/>
      <c r="G36" s="16" t="n"/>
      <c r="H36" s="16" t="n"/>
      <c r="I36" s="16" t="n"/>
      <c r="J36" s="16" t="n"/>
      <c r="K36" s="19" t="n"/>
      <c r="L36" s="20">
        <f>IF(OR(I36="",J36=""),"",IF(I36=J36,I36,IF(K36="","Supervisor to decide",K36)))</f>
        <v/>
      </c>
      <c r="M36" s="20">
        <f>IF(OR(I36="",J36=""),"",IF(I36=J36,1,0))</f>
        <v/>
      </c>
    </row>
    <row r="37">
      <c r="A37" s="15" t="n">
        <v>32</v>
      </c>
      <c r="B37" s="15" t="inlineStr">
        <is>
          <t>Answerable</t>
        </is>
      </c>
      <c r="C37" s="16" t="n"/>
      <c r="D37" s="16" t="n"/>
      <c r="E37" s="16" t="n"/>
      <c r="F37" s="16" t="n"/>
      <c r="G37" s="16" t="n"/>
      <c r="H37" s="16" t="n"/>
      <c r="I37" s="16" t="n"/>
      <c r="J37" s="16" t="n"/>
      <c r="K37" s="19" t="n"/>
      <c r="L37" s="20">
        <f>IF(OR(I37="",J37=""),"",IF(I37=J37,I37,IF(K37="","Supervisor to decide",K37)))</f>
        <v/>
      </c>
      <c r="M37" s="20">
        <f>IF(OR(I37="",J37=""),"",IF(I37=J37,1,0))</f>
        <v/>
      </c>
    </row>
    <row r="38">
      <c r="A38" s="15" t="n">
        <v>33</v>
      </c>
      <c r="B38" s="15" t="inlineStr">
        <is>
          <t>Answerable</t>
        </is>
      </c>
      <c r="C38" s="16" t="n"/>
      <c r="D38" s="16" t="n"/>
      <c r="E38" s="16" t="n"/>
      <c r="F38" s="16" t="n"/>
      <c r="G38" s="16" t="n"/>
      <c r="H38" s="16" t="n"/>
      <c r="I38" s="16" t="n"/>
      <c r="J38" s="16" t="n"/>
      <c r="K38" s="19" t="n"/>
      <c r="L38" s="20">
        <f>IF(OR(I38="",J38=""),"",IF(I38=J38,I38,IF(K38="","Supervisor to decide",K38)))</f>
        <v/>
      </c>
      <c r="M38" s="20">
        <f>IF(OR(I38="",J38=""),"",IF(I38=J38,1,0))</f>
        <v/>
      </c>
    </row>
    <row r="39">
      <c r="A39" s="15" t="n">
        <v>34</v>
      </c>
      <c r="B39" s="15" t="inlineStr">
        <is>
          <t>Answerable</t>
        </is>
      </c>
      <c r="C39" s="16" t="n"/>
      <c r="D39" s="16" t="n"/>
      <c r="E39" s="16" t="n"/>
      <c r="F39" s="16" t="n"/>
      <c r="G39" s="16" t="n"/>
      <c r="H39" s="16" t="n"/>
      <c r="I39" s="16" t="n"/>
      <c r="J39" s="16" t="n"/>
      <c r="K39" s="19" t="n"/>
      <c r="L39" s="20">
        <f>IF(OR(I39="",J39=""),"",IF(I39=J39,I39,IF(K39="","Supervisor to decide",K39)))</f>
        <v/>
      </c>
      <c r="M39" s="20">
        <f>IF(OR(I39="",J39=""),"",IF(I39=J39,1,0))</f>
        <v/>
      </c>
    </row>
    <row r="40">
      <c r="A40" s="15" t="n">
        <v>35</v>
      </c>
      <c r="B40" s="15" t="inlineStr">
        <is>
          <t>Answerable</t>
        </is>
      </c>
      <c r="C40" s="16" t="n"/>
      <c r="D40" s="16" t="n"/>
      <c r="E40" s="16" t="n"/>
      <c r="F40" s="16" t="n"/>
      <c r="G40" s="16" t="n"/>
      <c r="H40" s="16" t="n"/>
      <c r="I40" s="16" t="n"/>
      <c r="J40" s="16" t="n"/>
      <c r="K40" s="19" t="n"/>
      <c r="L40" s="20">
        <f>IF(OR(I40="",J40=""),"",IF(I40=J40,I40,IF(K40="","Supervisor to decide",K40)))</f>
        <v/>
      </c>
      <c r="M40" s="20">
        <f>IF(OR(I40="",J40=""),"",IF(I40=J40,1,0))</f>
        <v/>
      </c>
    </row>
    <row r="41">
      <c r="A41" s="15" t="n">
        <v>36</v>
      </c>
      <c r="B41" s="15" t="inlineStr">
        <is>
          <t>Answerable</t>
        </is>
      </c>
      <c r="C41" s="16" t="n"/>
      <c r="D41" s="16" t="n"/>
      <c r="E41" s="16" t="n"/>
      <c r="F41" s="16" t="n"/>
      <c r="G41" s="16" t="n"/>
      <c r="H41" s="16" t="n"/>
      <c r="I41" s="16" t="n"/>
      <c r="J41" s="16" t="n"/>
      <c r="K41" s="19" t="n"/>
      <c r="L41" s="20">
        <f>IF(OR(I41="",J41=""),"",IF(I41=J41,I41,IF(K41="","Supervisor to decide",K41)))</f>
        <v/>
      </c>
      <c r="M41" s="20">
        <f>IF(OR(I41="",J41=""),"",IF(I41=J41,1,0))</f>
        <v/>
      </c>
    </row>
    <row r="42">
      <c r="A42" s="15" t="n">
        <v>37</v>
      </c>
      <c r="B42" s="15" t="inlineStr">
        <is>
          <t>Answerable</t>
        </is>
      </c>
      <c r="C42" s="16" t="n"/>
      <c r="D42" s="16" t="n"/>
      <c r="E42" s="16" t="n"/>
      <c r="F42" s="16" t="n"/>
      <c r="G42" s="16" t="n"/>
      <c r="H42" s="16" t="n"/>
      <c r="I42" s="16" t="n"/>
      <c r="J42" s="16" t="n"/>
      <c r="K42" s="19" t="n"/>
      <c r="L42" s="20">
        <f>IF(OR(I42="",J42=""),"",IF(I42=J42,I42,IF(K42="","Supervisor to decide",K42)))</f>
        <v/>
      </c>
      <c r="M42" s="20">
        <f>IF(OR(I42="",J42=""),"",IF(I42=J42,1,0))</f>
        <v/>
      </c>
    </row>
    <row r="43">
      <c r="A43" s="15" t="n">
        <v>38</v>
      </c>
      <c r="B43" s="15" t="inlineStr">
        <is>
          <t>Answerable</t>
        </is>
      </c>
      <c r="C43" s="16" t="n"/>
      <c r="D43" s="16" t="n"/>
      <c r="E43" s="16" t="n"/>
      <c r="F43" s="16" t="n"/>
      <c r="G43" s="16" t="n"/>
      <c r="H43" s="16" t="n"/>
      <c r="I43" s="16" t="n"/>
      <c r="J43" s="16" t="n"/>
      <c r="K43" s="19" t="n"/>
      <c r="L43" s="20">
        <f>IF(OR(I43="",J43=""),"",IF(I43=J43,I43,IF(K43="","Supervisor to decide",K43)))</f>
        <v/>
      </c>
      <c r="M43" s="20">
        <f>IF(OR(I43="",J43=""),"",IF(I43=J43,1,0))</f>
        <v/>
      </c>
    </row>
    <row r="44">
      <c r="A44" s="15" t="n">
        <v>39</v>
      </c>
      <c r="B44" s="15" t="inlineStr">
        <is>
          <t>Answerable</t>
        </is>
      </c>
      <c r="C44" s="16" t="n"/>
      <c r="D44" s="16" t="n"/>
      <c r="E44" s="16" t="n"/>
      <c r="F44" s="16" t="n"/>
      <c r="G44" s="16" t="n"/>
      <c r="H44" s="16" t="n"/>
      <c r="I44" s="16" t="n"/>
      <c r="J44" s="16" t="n"/>
      <c r="K44" s="19" t="n"/>
      <c r="L44" s="20">
        <f>IF(OR(I44="",J44=""),"",IF(I44=J44,I44,IF(K44="","Supervisor to decide",K44)))</f>
        <v/>
      </c>
      <c r="M44" s="20">
        <f>IF(OR(I44="",J44=""),"",IF(I44=J44,1,0))</f>
        <v/>
      </c>
    </row>
    <row r="45">
      <c r="A45" s="15" t="n">
        <v>40</v>
      </c>
      <c r="B45" s="15" t="inlineStr">
        <is>
          <t>Answerable</t>
        </is>
      </c>
      <c r="C45" s="16" t="n"/>
      <c r="D45" s="16" t="n"/>
      <c r="E45" s="16" t="n"/>
      <c r="F45" s="16" t="n"/>
      <c r="G45" s="16" t="n"/>
      <c r="H45" s="16" t="n"/>
      <c r="I45" s="16" t="n"/>
      <c r="J45" s="16" t="n"/>
      <c r="K45" s="19" t="n"/>
      <c r="L45" s="20">
        <f>IF(OR(I45="",J45=""),"",IF(I45=J45,I45,IF(K45="","Supervisor to decide",K45)))</f>
        <v/>
      </c>
      <c r="M45" s="20">
        <f>IF(OR(I45="",J45=""),"",IF(I45=J45,1,0))</f>
        <v/>
      </c>
    </row>
    <row r="46">
      <c r="A46" s="15" t="n">
        <v>41</v>
      </c>
      <c r="B46" s="15" t="inlineStr">
        <is>
          <t>Answerable</t>
        </is>
      </c>
      <c r="C46" s="16" t="n"/>
      <c r="D46" s="16" t="n"/>
      <c r="E46" s="16" t="n"/>
      <c r="F46" s="16" t="n"/>
      <c r="G46" s="16" t="n"/>
      <c r="H46" s="16" t="n"/>
      <c r="I46" s="16" t="n"/>
      <c r="J46" s="16" t="n"/>
      <c r="K46" s="19" t="n"/>
      <c r="L46" s="20">
        <f>IF(OR(I46="",J46=""),"",IF(I46=J46,I46,IF(K46="","Supervisor to decide",K46)))</f>
        <v/>
      </c>
      <c r="M46" s="20">
        <f>IF(OR(I46="",J46=""),"",IF(I46=J46,1,0))</f>
        <v/>
      </c>
    </row>
    <row r="47">
      <c r="A47" s="15" t="n">
        <v>42</v>
      </c>
      <c r="B47" s="15" t="inlineStr">
        <is>
          <t>Answerable</t>
        </is>
      </c>
      <c r="C47" s="16" t="n"/>
      <c r="D47" s="16" t="n"/>
      <c r="E47" s="16" t="n"/>
      <c r="F47" s="16" t="n"/>
      <c r="G47" s="16" t="n"/>
      <c r="H47" s="16" t="n"/>
      <c r="I47" s="16" t="n"/>
      <c r="J47" s="16" t="n"/>
      <c r="K47" s="19" t="n"/>
      <c r="L47" s="20">
        <f>IF(OR(I47="",J47=""),"",IF(I47=J47,I47,IF(K47="","Supervisor to decide",K47)))</f>
        <v/>
      </c>
      <c r="M47" s="20">
        <f>IF(OR(I47="",J47=""),"",IF(I47=J47,1,0))</f>
        <v/>
      </c>
    </row>
    <row r="48">
      <c r="A48" s="15" t="n">
        <v>43</v>
      </c>
      <c r="B48" s="15" t="inlineStr">
        <is>
          <t>Answerable</t>
        </is>
      </c>
      <c r="C48" s="16" t="n"/>
      <c r="D48" s="16" t="n"/>
      <c r="E48" s="16" t="n"/>
      <c r="F48" s="16" t="n"/>
      <c r="G48" s="16" t="n"/>
      <c r="H48" s="16" t="n"/>
      <c r="I48" s="16" t="n"/>
      <c r="J48" s="16" t="n"/>
      <c r="K48" s="19" t="n"/>
      <c r="L48" s="20">
        <f>IF(OR(I48="",J48=""),"",IF(I48=J48,I48,IF(K48="","Supervisor to decide",K48)))</f>
        <v/>
      </c>
      <c r="M48" s="20">
        <f>IF(OR(I48="",J48=""),"",IF(I48=J48,1,0))</f>
        <v/>
      </c>
    </row>
    <row r="49">
      <c r="A49" s="15" t="n">
        <v>44</v>
      </c>
      <c r="B49" s="15" t="inlineStr">
        <is>
          <t>Answerable</t>
        </is>
      </c>
      <c r="C49" s="16" t="n"/>
      <c r="D49" s="16" t="n"/>
      <c r="E49" s="16" t="n"/>
      <c r="F49" s="16" t="n"/>
      <c r="G49" s="16" t="n"/>
      <c r="H49" s="16" t="n"/>
      <c r="I49" s="16" t="n"/>
      <c r="J49" s="16" t="n"/>
      <c r="K49" s="19" t="n"/>
      <c r="L49" s="20">
        <f>IF(OR(I49="",J49=""),"",IF(I49=J49,I49,IF(K49="","Supervisor to decide",K49)))</f>
        <v/>
      </c>
      <c r="M49" s="20">
        <f>IF(OR(I49="",J49=""),"",IF(I49=J49,1,0))</f>
        <v/>
      </c>
    </row>
    <row r="50">
      <c r="A50" s="15" t="n">
        <v>45</v>
      </c>
      <c r="B50" s="15" t="inlineStr">
        <is>
          <t>Answerable</t>
        </is>
      </c>
      <c r="C50" s="16" t="n"/>
      <c r="D50" s="16" t="n"/>
      <c r="E50" s="16" t="n"/>
      <c r="F50" s="16" t="n"/>
      <c r="G50" s="16" t="n"/>
      <c r="H50" s="16" t="n"/>
      <c r="I50" s="16" t="n"/>
      <c r="J50" s="16" t="n"/>
      <c r="K50" s="19" t="n"/>
      <c r="L50" s="20">
        <f>IF(OR(I50="",J50=""),"",IF(I50=J50,I50,IF(K50="","Supervisor to decide",K50)))</f>
        <v/>
      </c>
      <c r="M50" s="20">
        <f>IF(OR(I50="",J50=""),"",IF(I50=J50,1,0))</f>
        <v/>
      </c>
    </row>
    <row r="51">
      <c r="A51" s="15" t="n">
        <v>46</v>
      </c>
      <c r="B51" s="15" t="inlineStr">
        <is>
          <t>Answerable</t>
        </is>
      </c>
      <c r="C51" s="16" t="n"/>
      <c r="D51" s="16" t="n"/>
      <c r="E51" s="16" t="n"/>
      <c r="F51" s="16" t="n"/>
      <c r="G51" s="16" t="n"/>
      <c r="H51" s="16" t="n"/>
      <c r="I51" s="16" t="n"/>
      <c r="J51" s="16" t="n"/>
      <c r="K51" s="19" t="n"/>
      <c r="L51" s="20">
        <f>IF(OR(I51="",J51=""),"",IF(I51=J51,I51,IF(K51="","Supervisor to decide",K51)))</f>
        <v/>
      </c>
      <c r="M51" s="20">
        <f>IF(OR(I51="",J51=""),"",IF(I51=J51,1,0))</f>
        <v/>
      </c>
    </row>
    <row r="52">
      <c r="A52" s="15" t="n">
        <v>47</v>
      </c>
      <c r="B52" s="15" t="inlineStr">
        <is>
          <t>Answerable</t>
        </is>
      </c>
      <c r="C52" s="16" t="n"/>
      <c r="D52" s="16" t="n"/>
      <c r="E52" s="16" t="n"/>
      <c r="F52" s="16" t="n"/>
      <c r="G52" s="16" t="n"/>
      <c r="H52" s="16" t="n"/>
      <c r="I52" s="16" t="n"/>
      <c r="J52" s="16" t="n"/>
      <c r="K52" s="19" t="n"/>
      <c r="L52" s="20">
        <f>IF(OR(I52="",J52=""),"",IF(I52=J52,I52,IF(K52="","Supervisor to decide",K52)))</f>
        <v/>
      </c>
      <c r="M52" s="20">
        <f>IF(OR(I52="",J52=""),"",IF(I52=J52,1,0))</f>
        <v/>
      </c>
    </row>
    <row r="53">
      <c r="A53" s="15" t="n">
        <v>48</v>
      </c>
      <c r="B53" s="15" t="inlineStr">
        <is>
          <t>Answerable</t>
        </is>
      </c>
      <c r="C53" s="16" t="n"/>
      <c r="D53" s="16" t="n"/>
      <c r="E53" s="16" t="n"/>
      <c r="F53" s="16" t="n"/>
      <c r="G53" s="16" t="n"/>
      <c r="H53" s="16" t="n"/>
      <c r="I53" s="16" t="n"/>
      <c r="J53" s="16" t="n"/>
      <c r="K53" s="19" t="n"/>
      <c r="L53" s="20">
        <f>IF(OR(I53="",J53=""),"",IF(I53=J53,I53,IF(K53="","Supervisor to decide",K53)))</f>
        <v/>
      </c>
      <c r="M53" s="20">
        <f>IF(OR(I53="",J53=""),"",IF(I53=J53,1,0))</f>
        <v/>
      </c>
    </row>
    <row r="54">
      <c r="A54" s="15" t="n">
        <v>49</v>
      </c>
      <c r="B54" s="15" t="inlineStr">
        <is>
          <t>Answerable</t>
        </is>
      </c>
      <c r="C54" s="16" t="n"/>
      <c r="D54" s="16" t="n"/>
      <c r="E54" s="16" t="n"/>
      <c r="F54" s="16" t="n"/>
      <c r="G54" s="16" t="n"/>
      <c r="H54" s="16" t="n"/>
      <c r="I54" s="16" t="n"/>
      <c r="J54" s="16" t="n"/>
      <c r="K54" s="19" t="n"/>
      <c r="L54" s="20">
        <f>IF(OR(I54="",J54=""),"",IF(I54=J54,I54,IF(K54="","Supervisor to decide",K54)))</f>
        <v/>
      </c>
      <c r="M54" s="20">
        <f>IF(OR(I54="",J54=""),"",IF(I54=J54,1,0))</f>
        <v/>
      </c>
    </row>
    <row r="55">
      <c r="A55" s="15" t="n">
        <v>50</v>
      </c>
      <c r="B55" s="15" t="inlineStr">
        <is>
          <t>Answerable</t>
        </is>
      </c>
      <c r="C55" s="16" t="n"/>
      <c r="D55" s="16" t="n"/>
      <c r="E55" s="16" t="n"/>
      <c r="F55" s="16" t="n"/>
      <c r="G55" s="16" t="n"/>
      <c r="H55" s="16" t="n"/>
      <c r="I55" s="16" t="n"/>
      <c r="J55" s="16" t="n"/>
      <c r="K55" s="19" t="n"/>
      <c r="L55" s="20">
        <f>IF(OR(I55="",J55=""),"",IF(I55=J55,I55,IF(K55="","Supervisor to decide",K55)))</f>
        <v/>
      </c>
      <c r="M55" s="20">
        <f>IF(OR(I55="",J55=""),"",IF(I55=J55,1,0))</f>
        <v/>
      </c>
    </row>
    <row r="56">
      <c r="A56" s="15" t="n">
        <v>51</v>
      </c>
      <c r="B56" s="15" t="inlineStr">
        <is>
          <t>Answerable</t>
        </is>
      </c>
      <c r="C56" s="16" t="n"/>
      <c r="D56" s="16" t="n"/>
      <c r="E56" s="16" t="n"/>
      <c r="F56" s="16" t="n"/>
      <c r="G56" s="16" t="n"/>
      <c r="H56" s="16" t="n"/>
      <c r="I56" s="16" t="n"/>
      <c r="J56" s="16" t="n"/>
      <c r="K56" s="19" t="n"/>
      <c r="L56" s="20">
        <f>IF(OR(I56="",J56=""),"",IF(I56=J56,I56,IF(K56="","Supervisor to decide",K56)))</f>
        <v/>
      </c>
      <c r="M56" s="20">
        <f>IF(OR(I56="",J56=""),"",IF(I56=J56,1,0))</f>
        <v/>
      </c>
    </row>
    <row r="57">
      <c r="A57" s="15" t="n">
        <v>52</v>
      </c>
      <c r="B57" s="15" t="inlineStr">
        <is>
          <t>Answerable</t>
        </is>
      </c>
      <c r="C57" s="16" t="n"/>
      <c r="D57" s="16" t="n"/>
      <c r="E57" s="16" t="n"/>
      <c r="F57" s="16" t="n"/>
      <c r="G57" s="16" t="n"/>
      <c r="H57" s="16" t="n"/>
      <c r="I57" s="16" t="n"/>
      <c r="J57" s="16" t="n"/>
      <c r="K57" s="19" t="n"/>
      <c r="L57" s="20">
        <f>IF(OR(I57="",J57=""),"",IF(I57=J57,I57,IF(K57="","Supervisor to decide",K57)))</f>
        <v/>
      </c>
      <c r="M57" s="20">
        <f>IF(OR(I57="",J57=""),"",IF(I57=J57,1,0))</f>
        <v/>
      </c>
    </row>
    <row r="58">
      <c r="A58" s="15" t="n">
        <v>53</v>
      </c>
      <c r="B58" s="15" t="inlineStr">
        <is>
          <t>Answerable</t>
        </is>
      </c>
      <c r="C58" s="16" t="n"/>
      <c r="D58" s="16" t="n"/>
      <c r="E58" s="16" t="n"/>
      <c r="F58" s="16" t="n"/>
      <c r="G58" s="16" t="n"/>
      <c r="H58" s="16" t="n"/>
      <c r="I58" s="16" t="n"/>
      <c r="J58" s="16" t="n"/>
      <c r="K58" s="19" t="n"/>
      <c r="L58" s="20">
        <f>IF(OR(I58="",J58=""),"",IF(I58=J58,I58,IF(K58="","Supervisor to decide",K58)))</f>
        <v/>
      </c>
      <c r="M58" s="20">
        <f>IF(OR(I58="",J58=""),"",IF(I58=J58,1,0))</f>
        <v/>
      </c>
    </row>
    <row r="59">
      <c r="A59" s="15" t="n">
        <v>54</v>
      </c>
      <c r="B59" s="15" t="inlineStr">
        <is>
          <t>Answerable</t>
        </is>
      </c>
      <c r="C59" s="16" t="n"/>
      <c r="D59" s="16" t="n"/>
      <c r="E59" s="16" t="n"/>
      <c r="F59" s="16" t="n"/>
      <c r="G59" s="16" t="n"/>
      <c r="H59" s="16" t="n"/>
      <c r="I59" s="16" t="n"/>
      <c r="J59" s="16" t="n"/>
      <c r="K59" s="19" t="n"/>
      <c r="L59" s="20">
        <f>IF(OR(I59="",J59=""),"",IF(I59=J59,I59,IF(K59="","Supervisor to decide",K59)))</f>
        <v/>
      </c>
      <c r="M59" s="20">
        <f>IF(OR(I59="",J59=""),"",IF(I59=J59,1,0))</f>
        <v/>
      </c>
    </row>
    <row r="60">
      <c r="A60" s="15" t="n">
        <v>55</v>
      </c>
      <c r="B60" s="15" t="inlineStr">
        <is>
          <t>Answerable</t>
        </is>
      </c>
      <c r="C60" s="16" t="n"/>
      <c r="D60" s="16" t="n"/>
      <c r="E60" s="16" t="n"/>
      <c r="F60" s="16" t="n"/>
      <c r="G60" s="16" t="n"/>
      <c r="H60" s="16" t="n"/>
      <c r="I60" s="16" t="n"/>
      <c r="J60" s="16" t="n"/>
      <c r="K60" s="19" t="n"/>
      <c r="L60" s="20">
        <f>IF(OR(I60="",J60=""),"",IF(I60=J60,I60,IF(K60="","Supervisor to decide",K60)))</f>
        <v/>
      </c>
      <c r="M60" s="20">
        <f>IF(OR(I60="",J60=""),"",IF(I60=J60,1,0))</f>
        <v/>
      </c>
    </row>
    <row r="61">
      <c r="A61" s="15" t="n">
        <v>56</v>
      </c>
      <c r="B61" s="15" t="inlineStr">
        <is>
          <t>Answerable</t>
        </is>
      </c>
      <c r="C61" s="16" t="n"/>
      <c r="D61" s="16" t="n"/>
      <c r="E61" s="16" t="n"/>
      <c r="F61" s="16" t="n"/>
      <c r="G61" s="16" t="n"/>
      <c r="H61" s="16" t="n"/>
      <c r="I61" s="16" t="n"/>
      <c r="J61" s="16" t="n"/>
      <c r="K61" s="19" t="n"/>
      <c r="L61" s="20">
        <f>IF(OR(I61="",J61=""),"",IF(I61=J61,I61,IF(K61="","Supervisor to decide",K61)))</f>
        <v/>
      </c>
      <c r="M61" s="20">
        <f>IF(OR(I61="",J61=""),"",IF(I61=J61,1,0))</f>
        <v/>
      </c>
    </row>
    <row r="62">
      <c r="A62" s="15" t="n">
        <v>57</v>
      </c>
      <c r="B62" s="15" t="inlineStr">
        <is>
          <t>Answerable</t>
        </is>
      </c>
      <c r="C62" s="16" t="n"/>
      <c r="D62" s="16" t="n"/>
      <c r="E62" s="16" t="n"/>
      <c r="F62" s="16" t="n"/>
      <c r="G62" s="16" t="n"/>
      <c r="H62" s="16" t="n"/>
      <c r="I62" s="16" t="n"/>
      <c r="J62" s="16" t="n"/>
      <c r="K62" s="19" t="n"/>
      <c r="L62" s="20">
        <f>IF(OR(I62="",J62=""),"",IF(I62=J62,I62,IF(K62="","Supervisor to decide",K62)))</f>
        <v/>
      </c>
      <c r="M62" s="20">
        <f>IF(OR(I62="",J62=""),"",IF(I62=J62,1,0))</f>
        <v/>
      </c>
    </row>
    <row r="63">
      <c r="A63" s="15" t="n">
        <v>58</v>
      </c>
      <c r="B63" s="15" t="inlineStr">
        <is>
          <t>Answerable</t>
        </is>
      </c>
      <c r="C63" s="16" t="n"/>
      <c r="D63" s="16" t="n"/>
      <c r="E63" s="16" t="n"/>
      <c r="F63" s="16" t="n"/>
      <c r="G63" s="16" t="n"/>
      <c r="H63" s="16" t="n"/>
      <c r="I63" s="16" t="n"/>
      <c r="J63" s="16" t="n"/>
      <c r="K63" s="19" t="n"/>
      <c r="L63" s="20">
        <f>IF(OR(I63="",J63=""),"",IF(I63=J63,I63,IF(K63="","Supervisor to decide",K63)))</f>
        <v/>
      </c>
      <c r="M63" s="20">
        <f>IF(OR(I63="",J63=""),"",IF(I63=J63,1,0))</f>
        <v/>
      </c>
    </row>
    <row r="64">
      <c r="A64" s="15" t="n">
        <v>59</v>
      </c>
      <c r="B64" s="15" t="inlineStr">
        <is>
          <t>Answerable</t>
        </is>
      </c>
      <c r="C64" s="16" t="n"/>
      <c r="D64" s="16" t="n"/>
      <c r="E64" s="16" t="n"/>
      <c r="F64" s="16" t="n"/>
      <c r="G64" s="16" t="n"/>
      <c r="H64" s="16" t="n"/>
      <c r="I64" s="16" t="n"/>
      <c r="J64" s="16" t="n"/>
      <c r="K64" s="19" t="n"/>
      <c r="L64" s="20">
        <f>IF(OR(I64="",J64=""),"",IF(I64=J64,I64,IF(K64="","Supervisor to decide",K64)))</f>
        <v/>
      </c>
      <c r="M64" s="20">
        <f>IF(OR(I64="",J64=""),"",IF(I64=J64,1,0))</f>
        <v/>
      </c>
    </row>
    <row r="65">
      <c r="A65" s="15" t="n">
        <v>60</v>
      </c>
      <c r="B65" s="15" t="inlineStr">
        <is>
          <t>Answerable</t>
        </is>
      </c>
      <c r="C65" s="16" t="n"/>
      <c r="D65" s="16" t="n"/>
      <c r="E65" s="16" t="n"/>
      <c r="F65" s="16" t="n"/>
      <c r="G65" s="16" t="n"/>
      <c r="H65" s="16" t="n"/>
      <c r="I65" s="16" t="n"/>
      <c r="J65" s="16" t="n"/>
      <c r="K65" s="19" t="n"/>
      <c r="L65" s="20">
        <f>IF(OR(I65="",J65=""),"",IF(I65=J65,I65,IF(K65="","Supervisor to decide",K65)))</f>
        <v/>
      </c>
      <c r="M65" s="20">
        <f>IF(OR(I65="",J65=""),"",IF(I65=J65,1,0))</f>
        <v/>
      </c>
    </row>
    <row r="66">
      <c r="A66" s="15" t="n">
        <v>61</v>
      </c>
      <c r="B66" s="15" t="inlineStr">
        <is>
          <t>Answerable</t>
        </is>
      </c>
      <c r="C66" s="16" t="n"/>
      <c r="D66" s="16" t="n"/>
      <c r="E66" s="16" t="n"/>
      <c r="F66" s="16" t="n"/>
      <c r="G66" s="16" t="n"/>
      <c r="H66" s="16" t="n"/>
      <c r="I66" s="16" t="n"/>
      <c r="J66" s="16" t="n"/>
      <c r="K66" s="19" t="n"/>
      <c r="L66" s="20">
        <f>IF(OR(I66="",J66=""),"",IF(I66=J66,I66,IF(K66="","Supervisor to decide",K66)))</f>
        <v/>
      </c>
      <c r="M66" s="20">
        <f>IF(OR(I66="",J66=""),"",IF(I66=J66,1,0))</f>
        <v/>
      </c>
    </row>
    <row r="67">
      <c r="A67" s="15" t="n">
        <v>62</v>
      </c>
      <c r="B67" s="15" t="inlineStr">
        <is>
          <t>Answerable</t>
        </is>
      </c>
      <c r="C67" s="16" t="n"/>
      <c r="D67" s="16" t="n"/>
      <c r="E67" s="16" t="n"/>
      <c r="F67" s="16" t="n"/>
      <c r="G67" s="16" t="n"/>
      <c r="H67" s="16" t="n"/>
      <c r="I67" s="16" t="n"/>
      <c r="J67" s="16" t="n"/>
      <c r="K67" s="19" t="n"/>
      <c r="L67" s="20">
        <f>IF(OR(I67="",J67=""),"",IF(I67=J67,I67,IF(K67="","Supervisor to decide",K67)))</f>
        <v/>
      </c>
      <c r="M67" s="20">
        <f>IF(OR(I67="",J67=""),"",IF(I67=J67,1,0))</f>
        <v/>
      </c>
    </row>
    <row r="68">
      <c r="A68" s="15" t="n">
        <v>63</v>
      </c>
      <c r="B68" s="15" t="inlineStr">
        <is>
          <t>Answerable</t>
        </is>
      </c>
      <c r="C68" s="16" t="n"/>
      <c r="D68" s="16" t="n"/>
      <c r="E68" s="16" t="n"/>
      <c r="F68" s="16" t="n"/>
      <c r="G68" s="16" t="n"/>
      <c r="H68" s="16" t="n"/>
      <c r="I68" s="16" t="n"/>
      <c r="J68" s="16" t="n"/>
      <c r="K68" s="19" t="n"/>
      <c r="L68" s="20">
        <f>IF(OR(I68="",J68=""),"",IF(I68=J68,I68,IF(K68="","Supervisor to decide",K68)))</f>
        <v/>
      </c>
      <c r="M68" s="20">
        <f>IF(OR(I68="",J68=""),"",IF(I68=J68,1,0))</f>
        <v/>
      </c>
    </row>
    <row r="69">
      <c r="A69" s="15" t="n">
        <v>64</v>
      </c>
      <c r="B69" s="15" t="inlineStr">
        <is>
          <t>Answerable</t>
        </is>
      </c>
      <c r="C69" s="16" t="n"/>
      <c r="D69" s="16" t="n"/>
      <c r="E69" s="16" t="n"/>
      <c r="F69" s="16" t="n"/>
      <c r="G69" s="16" t="n"/>
      <c r="H69" s="16" t="n"/>
      <c r="I69" s="16" t="n"/>
      <c r="J69" s="16" t="n"/>
      <c r="K69" s="19" t="n"/>
      <c r="L69" s="20">
        <f>IF(OR(I69="",J69=""),"",IF(I69=J69,I69,IF(K69="","Supervisor to decide",K69)))</f>
        <v/>
      </c>
      <c r="M69" s="20">
        <f>IF(OR(I69="",J69=""),"",IF(I69=J69,1,0))</f>
        <v/>
      </c>
    </row>
    <row r="70">
      <c r="A70" s="15" t="n">
        <v>65</v>
      </c>
      <c r="B70" s="15" t="inlineStr">
        <is>
          <t>Answerable</t>
        </is>
      </c>
      <c r="C70" s="16" t="n"/>
      <c r="D70" s="16" t="n"/>
      <c r="E70" s="16" t="n"/>
      <c r="F70" s="16" t="n"/>
      <c r="G70" s="16" t="n"/>
      <c r="H70" s="16" t="n"/>
      <c r="I70" s="16" t="n"/>
      <c r="J70" s="16" t="n"/>
      <c r="K70" s="19" t="n"/>
      <c r="L70" s="20">
        <f>IF(OR(I70="",J70=""),"",IF(I70=J70,I70,IF(K70="","Supervisor to decide",K70)))</f>
        <v/>
      </c>
      <c r="M70" s="20">
        <f>IF(OR(I70="",J70=""),"",IF(I70=J70,1,0))</f>
        <v/>
      </c>
    </row>
    <row r="71">
      <c r="A71" s="15" t="n">
        <v>66</v>
      </c>
      <c r="B71" s="15" t="inlineStr">
        <is>
          <t>Answerable</t>
        </is>
      </c>
      <c r="C71" s="16" t="n"/>
      <c r="D71" s="16" t="n"/>
      <c r="E71" s="16" t="n"/>
      <c r="F71" s="16" t="n"/>
      <c r="G71" s="16" t="n"/>
      <c r="H71" s="16" t="n"/>
      <c r="I71" s="16" t="n"/>
      <c r="J71" s="16" t="n"/>
      <c r="K71" s="19" t="n"/>
      <c r="L71" s="20">
        <f>IF(OR(I71="",J71=""),"",IF(I71=J71,I71,IF(K71="","Supervisor to decide",K71)))</f>
        <v/>
      </c>
      <c r="M71" s="20">
        <f>IF(OR(I71="",J71=""),"",IF(I71=J71,1,0))</f>
        <v/>
      </c>
    </row>
    <row r="72">
      <c r="A72" s="15" t="n">
        <v>67</v>
      </c>
      <c r="B72" s="15" t="inlineStr">
        <is>
          <t>Answerable</t>
        </is>
      </c>
      <c r="C72" s="16" t="n"/>
      <c r="D72" s="16" t="n"/>
      <c r="E72" s="16" t="n"/>
      <c r="F72" s="16" t="n"/>
      <c r="G72" s="16" t="n"/>
      <c r="H72" s="16" t="n"/>
      <c r="I72" s="16" t="n"/>
      <c r="J72" s="16" t="n"/>
      <c r="K72" s="19" t="n"/>
      <c r="L72" s="20">
        <f>IF(OR(I72="",J72=""),"",IF(I72=J72,I72,IF(K72="","Supervisor to decide",K72)))</f>
        <v/>
      </c>
      <c r="M72" s="20">
        <f>IF(OR(I72="",J72=""),"",IF(I72=J72,1,0))</f>
        <v/>
      </c>
    </row>
    <row r="73">
      <c r="A73" s="15" t="n">
        <v>68</v>
      </c>
      <c r="B73" s="15" t="inlineStr">
        <is>
          <t>Answerable</t>
        </is>
      </c>
      <c r="C73" s="16" t="n"/>
      <c r="D73" s="16" t="n"/>
      <c r="E73" s="16" t="n"/>
      <c r="F73" s="16" t="n"/>
      <c r="G73" s="16" t="n"/>
      <c r="H73" s="16" t="n"/>
      <c r="I73" s="16" t="n"/>
      <c r="J73" s="16" t="n"/>
      <c r="K73" s="19" t="n"/>
      <c r="L73" s="20">
        <f>IF(OR(I73="",J73=""),"",IF(I73=J73,I73,IF(K73="","Supervisor to decide",K73)))</f>
        <v/>
      </c>
      <c r="M73" s="20">
        <f>IF(OR(I73="",J73=""),"",IF(I73=J73,1,0))</f>
        <v/>
      </c>
    </row>
    <row r="74">
      <c r="A74" s="15" t="n">
        <v>69</v>
      </c>
      <c r="B74" s="15" t="inlineStr">
        <is>
          <t>Answerable</t>
        </is>
      </c>
      <c r="C74" s="16" t="n"/>
      <c r="D74" s="16" t="n"/>
      <c r="E74" s="16" t="n"/>
      <c r="F74" s="16" t="n"/>
      <c r="G74" s="16" t="n"/>
      <c r="H74" s="16" t="n"/>
      <c r="I74" s="16" t="n"/>
      <c r="J74" s="16" t="n"/>
      <c r="K74" s="19" t="n"/>
      <c r="L74" s="20">
        <f>IF(OR(I74="",J74=""),"",IF(I74=J74,I74,IF(K74="","Supervisor to decide",K74)))</f>
        <v/>
      </c>
      <c r="M74" s="20">
        <f>IF(OR(I74="",J74=""),"",IF(I74=J74,1,0))</f>
        <v/>
      </c>
    </row>
    <row r="75">
      <c r="A75" s="15" t="n">
        <v>70</v>
      </c>
      <c r="B75" s="15" t="inlineStr">
        <is>
          <t>Answerable</t>
        </is>
      </c>
      <c r="C75" s="16" t="n"/>
      <c r="D75" s="16" t="n"/>
      <c r="E75" s="16" t="n"/>
      <c r="F75" s="16" t="n"/>
      <c r="G75" s="16" t="n"/>
      <c r="H75" s="16" t="n"/>
      <c r="I75" s="16" t="n"/>
      <c r="J75" s="16" t="n"/>
      <c r="K75" s="19" t="n"/>
      <c r="L75" s="20">
        <f>IF(OR(I75="",J75=""),"",IF(I75=J75,I75,IF(K75="","Supervisor to decide",K75)))</f>
        <v/>
      </c>
      <c r="M75" s="20">
        <f>IF(OR(I75="",J75=""),"",IF(I75=J75,1,0))</f>
        <v/>
      </c>
    </row>
    <row r="76">
      <c r="A76" s="15" t="n">
        <v>71</v>
      </c>
      <c r="B76" s="15" t="inlineStr">
        <is>
          <t>Answerable</t>
        </is>
      </c>
      <c r="C76" s="16" t="n"/>
      <c r="D76" s="16" t="n"/>
      <c r="E76" s="16" t="n"/>
      <c r="F76" s="16" t="n"/>
      <c r="G76" s="16" t="n"/>
      <c r="H76" s="16" t="n"/>
      <c r="I76" s="16" t="n"/>
      <c r="J76" s="16" t="n"/>
      <c r="K76" s="19" t="n"/>
      <c r="L76" s="20">
        <f>IF(OR(I76="",J76=""),"",IF(I76=J76,I76,IF(K76="","Supervisor to decide",K76)))</f>
        <v/>
      </c>
      <c r="M76" s="20">
        <f>IF(OR(I76="",J76=""),"",IF(I76=J76,1,0))</f>
        <v/>
      </c>
    </row>
    <row r="77">
      <c r="A77" s="15" t="n">
        <v>72</v>
      </c>
      <c r="B77" s="15" t="inlineStr">
        <is>
          <t>Answerable</t>
        </is>
      </c>
      <c r="C77" s="16" t="n"/>
      <c r="D77" s="16" t="n"/>
      <c r="E77" s="16" t="n"/>
      <c r="F77" s="16" t="n"/>
      <c r="G77" s="16" t="n"/>
      <c r="H77" s="16" t="n"/>
      <c r="I77" s="16" t="n"/>
      <c r="J77" s="16" t="n"/>
      <c r="K77" s="19" t="n"/>
      <c r="L77" s="20">
        <f>IF(OR(I77="",J77=""),"",IF(I77=J77,I77,IF(K77="","Supervisor to decide",K77)))</f>
        <v/>
      </c>
      <c r="M77" s="20">
        <f>IF(OR(I77="",J77=""),"",IF(I77=J77,1,0))</f>
        <v/>
      </c>
    </row>
    <row r="78">
      <c r="A78" s="15" t="n">
        <v>73</v>
      </c>
      <c r="B78" s="15" t="inlineStr">
        <is>
          <t>Answerable</t>
        </is>
      </c>
      <c r="C78" s="16" t="n"/>
      <c r="D78" s="16" t="n"/>
      <c r="E78" s="16" t="n"/>
      <c r="F78" s="16" t="n"/>
      <c r="G78" s="16" t="n"/>
      <c r="H78" s="16" t="n"/>
      <c r="I78" s="16" t="n"/>
      <c r="J78" s="16" t="n"/>
      <c r="K78" s="19" t="n"/>
      <c r="L78" s="20">
        <f>IF(OR(I78="",J78=""),"",IF(I78=J78,I78,IF(K78="","Supervisor to decide",K78)))</f>
        <v/>
      </c>
      <c r="M78" s="20">
        <f>IF(OR(I78="",J78=""),"",IF(I78=J78,1,0))</f>
        <v/>
      </c>
    </row>
    <row r="79">
      <c r="A79" s="15" t="n">
        <v>74</v>
      </c>
      <c r="B79" s="15" t="inlineStr">
        <is>
          <t>Answerable</t>
        </is>
      </c>
      <c r="C79" s="16" t="n"/>
      <c r="D79" s="16" t="n"/>
      <c r="E79" s="16" t="n"/>
      <c r="F79" s="16" t="n"/>
      <c r="G79" s="16" t="n"/>
      <c r="H79" s="16" t="n"/>
      <c r="I79" s="16" t="n"/>
      <c r="J79" s="16" t="n"/>
      <c r="K79" s="19" t="n"/>
      <c r="L79" s="20">
        <f>IF(OR(I79="",J79=""),"",IF(I79=J79,I79,IF(K79="","Supervisor to decide",K79)))</f>
        <v/>
      </c>
      <c r="M79" s="20">
        <f>IF(OR(I79="",J79=""),"",IF(I79=J79,1,0))</f>
        <v/>
      </c>
    </row>
    <row r="80">
      <c r="A80" s="15" t="n">
        <v>75</v>
      </c>
      <c r="B80" s="15" t="inlineStr">
        <is>
          <t>Answerable</t>
        </is>
      </c>
      <c r="C80" s="16" t="n"/>
      <c r="D80" s="16" t="n"/>
      <c r="E80" s="16" t="n"/>
      <c r="F80" s="16" t="n"/>
      <c r="G80" s="16" t="n"/>
      <c r="H80" s="16" t="n"/>
      <c r="I80" s="16" t="n"/>
      <c r="J80" s="16" t="n"/>
      <c r="K80" s="19" t="n"/>
      <c r="L80" s="20">
        <f>IF(OR(I80="",J80=""),"",IF(I80=J80,I80,IF(K80="","Supervisor to decide",K80)))</f>
        <v/>
      </c>
      <c r="M80" s="20">
        <f>IF(OR(I80="",J80=""),"",IF(I80=J80,1,0))</f>
        <v/>
      </c>
    </row>
    <row r="81">
      <c r="A81" s="15" t="n">
        <v>76</v>
      </c>
      <c r="B81" s="15" t="inlineStr">
        <is>
          <t>Answerable</t>
        </is>
      </c>
      <c r="C81" s="16" t="n"/>
      <c r="D81" s="16" t="n"/>
      <c r="E81" s="16" t="n"/>
      <c r="F81" s="16" t="n"/>
      <c r="G81" s="16" t="n"/>
      <c r="H81" s="16" t="n"/>
      <c r="I81" s="16" t="n"/>
      <c r="J81" s="16" t="n"/>
      <c r="K81" s="19" t="n"/>
      <c r="L81" s="20">
        <f>IF(OR(I81="",J81=""),"",IF(I81=J81,I81,IF(K81="","Supervisor to decide",K81)))</f>
        <v/>
      </c>
      <c r="M81" s="20">
        <f>IF(OR(I81="",J81=""),"",IF(I81=J81,1,0))</f>
        <v/>
      </c>
    </row>
    <row r="82">
      <c r="A82" s="15" t="n">
        <v>77</v>
      </c>
      <c r="B82" s="15" t="inlineStr">
        <is>
          <t>Answerable</t>
        </is>
      </c>
      <c r="C82" s="16" t="n"/>
      <c r="D82" s="16" t="n"/>
      <c r="E82" s="16" t="n"/>
      <c r="F82" s="16" t="n"/>
      <c r="G82" s="16" t="n"/>
      <c r="H82" s="16" t="n"/>
      <c r="I82" s="16" t="n"/>
      <c r="J82" s="16" t="n"/>
      <c r="K82" s="19" t="n"/>
      <c r="L82" s="20">
        <f>IF(OR(I82="",J82=""),"",IF(I82=J82,I82,IF(K82="","Supervisor to decide",K82)))</f>
        <v/>
      </c>
      <c r="M82" s="20">
        <f>IF(OR(I82="",J82=""),"",IF(I82=J82,1,0))</f>
        <v/>
      </c>
    </row>
    <row r="83">
      <c r="A83" s="15" t="n">
        <v>78</v>
      </c>
      <c r="B83" s="15" t="inlineStr">
        <is>
          <t>Answerable</t>
        </is>
      </c>
      <c r="C83" s="16" t="n"/>
      <c r="D83" s="16" t="n"/>
      <c r="E83" s="16" t="n"/>
      <c r="F83" s="16" t="n"/>
      <c r="G83" s="16" t="n"/>
      <c r="H83" s="16" t="n"/>
      <c r="I83" s="16" t="n"/>
      <c r="J83" s="16" t="n"/>
      <c r="K83" s="19" t="n"/>
      <c r="L83" s="20">
        <f>IF(OR(I83="",J83=""),"",IF(I83=J83,I83,IF(K83="","Supervisor to decide",K83)))</f>
        <v/>
      </c>
      <c r="M83" s="20">
        <f>IF(OR(I83="",J83=""),"",IF(I83=J83,1,0))</f>
        <v/>
      </c>
    </row>
    <row r="84">
      <c r="A84" s="15" t="n">
        <v>79</v>
      </c>
      <c r="B84" s="15" t="inlineStr">
        <is>
          <t>Answerable</t>
        </is>
      </c>
      <c r="C84" s="16" t="n"/>
      <c r="D84" s="16" t="n"/>
      <c r="E84" s="16" t="n"/>
      <c r="F84" s="16" t="n"/>
      <c r="G84" s="16" t="n"/>
      <c r="H84" s="16" t="n"/>
      <c r="I84" s="16" t="n"/>
      <c r="J84" s="16" t="n"/>
      <c r="K84" s="19" t="n"/>
      <c r="L84" s="20">
        <f>IF(OR(I84="",J84=""),"",IF(I84=J84,I84,IF(K84="","Supervisor to decide",K84)))</f>
        <v/>
      </c>
      <c r="M84" s="20">
        <f>IF(OR(I84="",J84=""),"",IF(I84=J84,1,0))</f>
        <v/>
      </c>
    </row>
    <row r="85">
      <c r="A85" s="15" t="n">
        <v>80</v>
      </c>
      <c r="B85" s="15" t="inlineStr">
        <is>
          <t>Answerable</t>
        </is>
      </c>
      <c r="C85" s="16" t="n"/>
      <c r="D85" s="16" t="n"/>
      <c r="E85" s="16" t="n"/>
      <c r="F85" s="16" t="n"/>
      <c r="G85" s="16" t="n"/>
      <c r="H85" s="16" t="n"/>
      <c r="I85" s="16" t="n"/>
      <c r="J85" s="16" t="n"/>
      <c r="K85" s="19" t="n"/>
      <c r="L85" s="20">
        <f>IF(OR(I85="",J85=""),"",IF(I85=J85,I85,IF(K85="","Supervisor to decide",K85)))</f>
        <v/>
      </c>
      <c r="M85" s="20">
        <f>IF(OR(I85="",J85=""),"",IF(I85=J85,1,0))</f>
        <v/>
      </c>
    </row>
    <row r="86">
      <c r="A86" s="15" t="n">
        <v>81</v>
      </c>
      <c r="B86" s="15" t="inlineStr">
        <is>
          <t>Answerable</t>
        </is>
      </c>
      <c r="C86" s="16" t="n"/>
      <c r="D86" s="16" t="n"/>
      <c r="E86" s="16" t="n"/>
      <c r="F86" s="16" t="n"/>
      <c r="G86" s="16" t="n"/>
      <c r="H86" s="16" t="n"/>
      <c r="I86" s="16" t="n"/>
      <c r="J86" s="16" t="n"/>
      <c r="K86" s="19" t="n"/>
      <c r="L86" s="20">
        <f>IF(OR(I86="",J86=""),"",IF(I86=J86,I86,IF(K86="","Supervisor to decide",K86)))</f>
        <v/>
      </c>
      <c r="M86" s="20">
        <f>IF(OR(I86="",J86=""),"",IF(I86=J86,1,0))</f>
        <v/>
      </c>
    </row>
    <row r="87">
      <c r="A87" s="15" t="n">
        <v>82</v>
      </c>
      <c r="B87" s="15" t="inlineStr">
        <is>
          <t>Answerable</t>
        </is>
      </c>
      <c r="C87" s="16" t="n"/>
      <c r="D87" s="16" t="n"/>
      <c r="E87" s="16" t="n"/>
      <c r="F87" s="16" t="n"/>
      <c r="G87" s="16" t="n"/>
      <c r="H87" s="16" t="n"/>
      <c r="I87" s="16" t="n"/>
      <c r="J87" s="16" t="n"/>
      <c r="K87" s="19" t="n"/>
      <c r="L87" s="20">
        <f>IF(OR(I87="",J87=""),"",IF(I87=J87,I87,IF(K87="","Supervisor to decide",K87)))</f>
        <v/>
      </c>
      <c r="M87" s="20">
        <f>IF(OR(I87="",J87=""),"",IF(I87=J87,1,0))</f>
        <v/>
      </c>
    </row>
    <row r="88">
      <c r="A88" s="15" t="n">
        <v>83</v>
      </c>
      <c r="B88" s="15" t="inlineStr">
        <is>
          <t>Answerable</t>
        </is>
      </c>
      <c r="C88" s="16" t="n"/>
      <c r="D88" s="16" t="n"/>
      <c r="E88" s="16" t="n"/>
      <c r="F88" s="16" t="n"/>
      <c r="G88" s="16" t="n"/>
      <c r="H88" s="16" t="n"/>
      <c r="I88" s="16" t="n"/>
      <c r="J88" s="16" t="n"/>
      <c r="K88" s="19" t="n"/>
      <c r="L88" s="20">
        <f>IF(OR(I88="",J88=""),"",IF(I88=J88,I88,IF(K88="","Supervisor to decide",K88)))</f>
        <v/>
      </c>
      <c r="M88" s="20">
        <f>IF(OR(I88="",J88=""),"",IF(I88=J88,1,0))</f>
        <v/>
      </c>
    </row>
    <row r="89">
      <c r="A89" s="15" t="n">
        <v>84</v>
      </c>
      <c r="B89" s="15" t="inlineStr">
        <is>
          <t>Answerable</t>
        </is>
      </c>
      <c r="C89" s="16" t="n"/>
      <c r="D89" s="16" t="n"/>
      <c r="E89" s="16" t="n"/>
      <c r="F89" s="16" t="n"/>
      <c r="G89" s="16" t="n"/>
      <c r="H89" s="16" t="n"/>
      <c r="I89" s="16" t="n"/>
      <c r="J89" s="16" t="n"/>
      <c r="K89" s="19" t="n"/>
      <c r="L89" s="20">
        <f>IF(OR(I89="",J89=""),"",IF(I89=J89,I89,IF(K89="","Supervisor to decide",K89)))</f>
        <v/>
      </c>
      <c r="M89" s="20">
        <f>IF(OR(I89="",J89=""),"",IF(I89=J89,1,0))</f>
        <v/>
      </c>
    </row>
    <row r="90">
      <c r="A90" s="15" t="n">
        <v>85</v>
      </c>
      <c r="B90" s="15" t="inlineStr">
        <is>
          <t>Answerable</t>
        </is>
      </c>
      <c r="C90" s="16" t="n"/>
      <c r="D90" s="16" t="n"/>
      <c r="E90" s="16" t="n"/>
      <c r="F90" s="16" t="n"/>
      <c r="G90" s="16" t="n"/>
      <c r="H90" s="16" t="n"/>
      <c r="I90" s="16" t="n"/>
      <c r="J90" s="16" t="n"/>
      <c r="K90" s="19" t="n"/>
      <c r="L90" s="20">
        <f>IF(OR(I90="",J90=""),"",IF(I90=J90,I90,IF(K90="","Supervisor to decide",K90)))</f>
        <v/>
      </c>
      <c r="M90" s="20">
        <f>IF(OR(I90="",J90=""),"",IF(I90=J90,1,0))</f>
        <v/>
      </c>
    </row>
    <row r="91">
      <c r="A91" s="15" t="n">
        <v>86</v>
      </c>
      <c r="B91" s="15" t="inlineStr">
        <is>
          <t>Answerable</t>
        </is>
      </c>
      <c r="C91" s="16" t="n"/>
      <c r="D91" s="16" t="n"/>
      <c r="E91" s="16" t="n"/>
      <c r="F91" s="16" t="n"/>
      <c r="G91" s="16" t="n"/>
      <c r="H91" s="16" t="n"/>
      <c r="I91" s="16" t="n"/>
      <c r="J91" s="16" t="n"/>
      <c r="K91" s="19" t="n"/>
      <c r="L91" s="20">
        <f>IF(OR(I91="",J91=""),"",IF(I91=J91,I91,IF(K91="","Supervisor to decide",K91)))</f>
        <v/>
      </c>
      <c r="M91" s="20">
        <f>IF(OR(I91="",J91=""),"",IF(I91=J91,1,0))</f>
        <v/>
      </c>
    </row>
    <row r="92">
      <c r="A92" s="15" t="n">
        <v>87</v>
      </c>
      <c r="B92" s="15" t="inlineStr">
        <is>
          <t>Answerable</t>
        </is>
      </c>
      <c r="C92" s="16" t="n"/>
      <c r="D92" s="16" t="n"/>
      <c r="E92" s="16" t="n"/>
      <c r="F92" s="16" t="n"/>
      <c r="G92" s="16" t="n"/>
      <c r="H92" s="16" t="n"/>
      <c r="I92" s="16" t="n"/>
      <c r="J92" s="16" t="n"/>
      <c r="K92" s="19" t="n"/>
      <c r="L92" s="20">
        <f>IF(OR(I92="",J92=""),"",IF(I92=J92,I92,IF(K92="","Supervisor to decide",K92)))</f>
        <v/>
      </c>
      <c r="M92" s="20">
        <f>IF(OR(I92="",J92=""),"",IF(I92=J92,1,0))</f>
        <v/>
      </c>
    </row>
    <row r="93">
      <c r="A93" s="15" t="n">
        <v>88</v>
      </c>
      <c r="B93" s="15" t="inlineStr">
        <is>
          <t>Answerable</t>
        </is>
      </c>
      <c r="C93" s="16" t="n"/>
      <c r="D93" s="16" t="n"/>
      <c r="E93" s="16" t="n"/>
      <c r="F93" s="16" t="n"/>
      <c r="G93" s="16" t="n"/>
      <c r="H93" s="16" t="n"/>
      <c r="I93" s="16" t="n"/>
      <c r="J93" s="16" t="n"/>
      <c r="K93" s="19" t="n"/>
      <c r="L93" s="20">
        <f>IF(OR(I93="",J93=""),"",IF(I93=J93,I93,IF(K93="","Supervisor to decide",K93)))</f>
        <v/>
      </c>
      <c r="M93" s="20">
        <f>IF(OR(I93="",J93=""),"",IF(I93=J93,1,0))</f>
        <v/>
      </c>
    </row>
    <row r="94">
      <c r="A94" s="15" t="n">
        <v>89</v>
      </c>
      <c r="B94" s="15" t="inlineStr">
        <is>
          <t>Answerable</t>
        </is>
      </c>
      <c r="C94" s="16" t="n"/>
      <c r="D94" s="16" t="n"/>
      <c r="E94" s="16" t="n"/>
      <c r="F94" s="16" t="n"/>
      <c r="G94" s="16" t="n"/>
      <c r="H94" s="16" t="n"/>
      <c r="I94" s="16" t="n"/>
      <c r="J94" s="16" t="n"/>
      <c r="K94" s="19" t="n"/>
      <c r="L94" s="20">
        <f>IF(OR(I94="",J94=""),"",IF(I94=J94,I94,IF(K94="","Supervisor to decide",K94)))</f>
        <v/>
      </c>
      <c r="M94" s="20">
        <f>IF(OR(I94="",J94=""),"",IF(I94=J94,1,0))</f>
        <v/>
      </c>
    </row>
    <row r="95">
      <c r="A95" s="15" t="n">
        <v>90</v>
      </c>
      <c r="B95" s="15" t="inlineStr">
        <is>
          <t>Answerable</t>
        </is>
      </c>
      <c r="C95" s="16" t="n"/>
      <c r="D95" s="16" t="n"/>
      <c r="E95" s="16" t="n"/>
      <c r="F95" s="16" t="n"/>
      <c r="G95" s="16" t="n"/>
      <c r="H95" s="16" t="n"/>
      <c r="I95" s="16" t="n"/>
      <c r="J95" s="16" t="n"/>
      <c r="K95" s="19" t="n"/>
      <c r="L95" s="20">
        <f>IF(OR(I95="",J95=""),"",IF(I95=J95,I95,IF(K95="","Supervisor to decide",K95)))</f>
        <v/>
      </c>
      <c r="M95" s="20">
        <f>IF(OR(I95="",J95=""),"",IF(I95=J95,1,0))</f>
        <v/>
      </c>
    </row>
    <row r="96">
      <c r="A96" s="15" t="n">
        <v>91</v>
      </c>
      <c r="B96" s="15" t="inlineStr">
        <is>
          <t>Answerable</t>
        </is>
      </c>
      <c r="C96" s="16" t="n"/>
      <c r="D96" s="16" t="n"/>
      <c r="E96" s="16" t="n"/>
      <c r="F96" s="16" t="n"/>
      <c r="G96" s="16" t="n"/>
      <c r="H96" s="16" t="n"/>
      <c r="I96" s="16" t="n"/>
      <c r="J96" s="16" t="n"/>
      <c r="K96" s="19" t="n"/>
      <c r="L96" s="20">
        <f>IF(OR(I96="",J96=""),"",IF(I96=J96,I96,IF(K96="","Supervisor to decide",K96)))</f>
        <v/>
      </c>
      <c r="M96" s="20">
        <f>IF(OR(I96="",J96=""),"",IF(I96=J96,1,0))</f>
        <v/>
      </c>
    </row>
    <row r="97">
      <c r="A97" s="15" t="n">
        <v>92</v>
      </c>
      <c r="B97" s="15" t="inlineStr">
        <is>
          <t>Answerable</t>
        </is>
      </c>
      <c r="C97" s="16" t="n"/>
      <c r="D97" s="16" t="n"/>
      <c r="E97" s="16" t="n"/>
      <c r="F97" s="16" t="n"/>
      <c r="G97" s="16" t="n"/>
      <c r="H97" s="16" t="n"/>
      <c r="I97" s="16" t="n"/>
      <c r="J97" s="16" t="n"/>
      <c r="K97" s="19" t="n"/>
      <c r="L97" s="20">
        <f>IF(OR(I97="",J97=""),"",IF(I97=J97,I97,IF(K97="","Supervisor to decide",K97)))</f>
        <v/>
      </c>
      <c r="M97" s="20">
        <f>IF(OR(I97="",J97=""),"",IF(I97=J97,1,0))</f>
        <v/>
      </c>
    </row>
    <row r="98">
      <c r="A98" s="15" t="n">
        <v>93</v>
      </c>
      <c r="B98" s="15" t="inlineStr">
        <is>
          <t>Answerable</t>
        </is>
      </c>
      <c r="C98" s="16" t="n"/>
      <c r="D98" s="16" t="n"/>
      <c r="E98" s="16" t="n"/>
      <c r="F98" s="16" t="n"/>
      <c r="G98" s="16" t="n"/>
      <c r="H98" s="16" t="n"/>
      <c r="I98" s="16" t="n"/>
      <c r="J98" s="16" t="n"/>
      <c r="K98" s="19" t="n"/>
      <c r="L98" s="20">
        <f>IF(OR(I98="",J98=""),"",IF(I98=J98,I98,IF(K98="","Supervisor to decide",K98)))</f>
        <v/>
      </c>
      <c r="M98" s="20">
        <f>IF(OR(I98="",J98=""),"",IF(I98=J98,1,0))</f>
        <v/>
      </c>
    </row>
    <row r="99">
      <c r="A99" s="15" t="n">
        <v>94</v>
      </c>
      <c r="B99" s="15" t="inlineStr">
        <is>
          <t>Answerable</t>
        </is>
      </c>
      <c r="C99" s="16" t="n"/>
      <c r="D99" s="16" t="n"/>
      <c r="E99" s="16" t="n"/>
      <c r="F99" s="16" t="n"/>
      <c r="G99" s="16" t="n"/>
      <c r="H99" s="16" t="n"/>
      <c r="I99" s="16" t="n"/>
      <c r="J99" s="16" t="n"/>
      <c r="K99" s="19" t="n"/>
      <c r="L99" s="20">
        <f>IF(OR(I99="",J99=""),"",IF(I99=J99,I99,IF(K99="","Supervisor to decide",K99)))</f>
        <v/>
      </c>
      <c r="M99" s="20">
        <f>IF(OR(I99="",J99=""),"",IF(I99=J99,1,0))</f>
        <v/>
      </c>
    </row>
    <row r="100">
      <c r="A100" s="15" t="n">
        <v>95</v>
      </c>
      <c r="B100" s="15" t="inlineStr">
        <is>
          <t>Answerable</t>
        </is>
      </c>
      <c r="C100" s="16" t="n"/>
      <c r="D100" s="16" t="n"/>
      <c r="E100" s="16" t="n"/>
      <c r="F100" s="16" t="n"/>
      <c r="G100" s="16" t="n"/>
      <c r="H100" s="16" t="n"/>
      <c r="I100" s="16" t="n"/>
      <c r="J100" s="16" t="n"/>
      <c r="K100" s="19" t="n"/>
      <c r="L100" s="20">
        <f>IF(OR(I100="",J100=""),"",IF(I100=J100,I100,IF(K100="","Supervisor to decide",K100)))</f>
        <v/>
      </c>
      <c r="M100" s="20">
        <f>IF(OR(I100="",J100=""),"",IF(I100=J100,1,0))</f>
        <v/>
      </c>
    </row>
    <row r="101">
      <c r="A101" s="15" t="n">
        <v>96</v>
      </c>
      <c r="B101" s="15" t="inlineStr">
        <is>
          <t>Answerable</t>
        </is>
      </c>
      <c r="C101" s="16" t="n"/>
      <c r="D101" s="16" t="n"/>
      <c r="E101" s="16" t="n"/>
      <c r="F101" s="16" t="n"/>
      <c r="G101" s="16" t="n"/>
      <c r="H101" s="16" t="n"/>
      <c r="I101" s="16" t="n"/>
      <c r="J101" s="16" t="n"/>
      <c r="K101" s="19" t="n"/>
      <c r="L101" s="20">
        <f>IF(OR(I101="",J101=""),"",IF(I101=J101,I101,IF(K101="","Supervisor to decide",K101)))</f>
        <v/>
      </c>
      <c r="M101" s="20">
        <f>IF(OR(I101="",J101=""),"",IF(I101=J101,1,0))</f>
        <v/>
      </c>
    </row>
    <row r="102">
      <c r="A102" s="15" t="n">
        <v>97</v>
      </c>
      <c r="B102" s="15" t="inlineStr">
        <is>
          <t>Answerable</t>
        </is>
      </c>
      <c r="C102" s="16" t="n"/>
      <c r="D102" s="16" t="n"/>
      <c r="E102" s="16" t="n"/>
      <c r="F102" s="16" t="n"/>
      <c r="G102" s="16" t="n"/>
      <c r="H102" s="16" t="n"/>
      <c r="I102" s="16" t="n"/>
      <c r="J102" s="16" t="n"/>
      <c r="K102" s="19" t="n"/>
      <c r="L102" s="20">
        <f>IF(OR(I102="",J102=""),"",IF(I102=J102,I102,IF(K102="","Supervisor to decide",K102)))</f>
        <v/>
      </c>
      <c r="M102" s="20">
        <f>IF(OR(I102="",J102=""),"",IF(I102=J102,1,0))</f>
        <v/>
      </c>
    </row>
    <row r="103">
      <c r="A103" s="15" t="n">
        <v>98</v>
      </c>
      <c r="B103" s="15" t="inlineStr">
        <is>
          <t>Answerable</t>
        </is>
      </c>
      <c r="C103" s="16" t="n"/>
      <c r="D103" s="16" t="n"/>
      <c r="E103" s="16" t="n"/>
      <c r="F103" s="16" t="n"/>
      <c r="G103" s="16" t="n"/>
      <c r="H103" s="16" t="n"/>
      <c r="I103" s="16" t="n"/>
      <c r="J103" s="16" t="n"/>
      <c r="K103" s="19" t="n"/>
      <c r="L103" s="20">
        <f>IF(OR(I103="",J103=""),"",IF(I103=J103,I103,IF(K103="","Supervisor to decide",K103)))</f>
        <v/>
      </c>
      <c r="M103" s="20">
        <f>IF(OR(I103="",J103=""),"",IF(I103=J103,1,0))</f>
        <v/>
      </c>
    </row>
    <row r="104">
      <c r="A104" s="15" t="n">
        <v>99</v>
      </c>
      <c r="B104" s="15" t="inlineStr">
        <is>
          <t>Answerable</t>
        </is>
      </c>
      <c r="C104" s="16" t="n"/>
      <c r="D104" s="16" t="n"/>
      <c r="E104" s="16" t="n"/>
      <c r="F104" s="16" t="n"/>
      <c r="G104" s="16" t="n"/>
      <c r="H104" s="16" t="n"/>
      <c r="I104" s="16" t="n"/>
      <c r="J104" s="16" t="n"/>
      <c r="K104" s="19" t="n"/>
      <c r="L104" s="20">
        <f>IF(OR(I104="",J104=""),"",IF(I104=J104,I104,IF(K104="","Supervisor to decide",K104)))</f>
        <v/>
      </c>
      <c r="M104" s="20">
        <f>IF(OR(I104="",J104=""),"",IF(I104=J104,1,0))</f>
        <v/>
      </c>
    </row>
    <row r="105">
      <c r="A105" s="15" t="n">
        <v>100</v>
      </c>
      <c r="B105" s="15" t="inlineStr">
        <is>
          <t>Answerable</t>
        </is>
      </c>
      <c r="C105" s="16" t="n"/>
      <c r="D105" s="16" t="n"/>
      <c r="E105" s="16" t="n"/>
      <c r="F105" s="16" t="n"/>
      <c r="G105" s="16" t="n"/>
      <c r="H105" s="16" t="n"/>
      <c r="I105" s="16" t="n"/>
      <c r="J105" s="16" t="n"/>
      <c r="K105" s="19" t="n"/>
      <c r="L105" s="20">
        <f>IF(OR(I105="",J105=""),"",IF(I105=J105,I105,IF(K105="","Supervisor to decide",K105)))</f>
        <v/>
      </c>
      <c r="M105" s="20">
        <f>IF(OR(I105="",J105=""),"",IF(I105=J105,1,0))</f>
        <v/>
      </c>
    </row>
    <row r="106">
      <c r="A106" s="15" t="n">
        <v>101</v>
      </c>
      <c r="B106" s="15" t="inlineStr">
        <is>
          <t>Tricky</t>
        </is>
      </c>
      <c r="C106" s="16" t="n"/>
      <c r="D106" s="16" t="n"/>
      <c r="E106" s="16" t="n"/>
      <c r="F106" s="16" t="n"/>
      <c r="G106" s="16" t="n"/>
      <c r="H106" s="16" t="n"/>
      <c r="I106" s="16" t="n"/>
      <c r="J106" s="16" t="n"/>
      <c r="K106" s="19" t="n"/>
      <c r="L106" s="20">
        <f>IF(OR(I106="",J106=""),"",IF(I106=J106,I106,IF(K106="","Supervisor to decide",K106)))</f>
        <v/>
      </c>
      <c r="M106" s="20">
        <f>IF(OR(I106="",J106=""),"",IF(I106=J106,1,0))</f>
        <v/>
      </c>
    </row>
    <row r="107">
      <c r="A107" s="15" t="n">
        <v>102</v>
      </c>
      <c r="B107" s="15" t="inlineStr">
        <is>
          <t>Tricky</t>
        </is>
      </c>
      <c r="C107" s="16" t="n"/>
      <c r="D107" s="16" t="n"/>
      <c r="E107" s="16" t="n"/>
      <c r="F107" s="16" t="n"/>
      <c r="G107" s="16" t="n"/>
      <c r="H107" s="16" t="n"/>
      <c r="I107" s="16" t="n"/>
      <c r="J107" s="16" t="n"/>
      <c r="K107" s="19" t="n"/>
      <c r="L107" s="20">
        <f>IF(OR(I107="",J107=""),"",IF(I107=J107,I107,IF(K107="","Supervisor to decide",K107)))</f>
        <v/>
      </c>
      <c r="M107" s="20">
        <f>IF(OR(I107="",J107=""),"",IF(I107=J107,1,0))</f>
        <v/>
      </c>
    </row>
    <row r="108">
      <c r="A108" s="15" t="n">
        <v>103</v>
      </c>
      <c r="B108" s="15" t="inlineStr">
        <is>
          <t>Tricky</t>
        </is>
      </c>
      <c r="C108" s="16" t="n"/>
      <c r="D108" s="16" t="n"/>
      <c r="E108" s="16" t="n"/>
      <c r="F108" s="16" t="n"/>
      <c r="G108" s="16" t="n"/>
      <c r="H108" s="16" t="n"/>
      <c r="I108" s="16" t="n"/>
      <c r="J108" s="16" t="n"/>
      <c r="K108" s="19" t="n"/>
      <c r="L108" s="20">
        <f>IF(OR(I108="",J108=""),"",IF(I108=J108,I108,IF(K108="","Supervisor to decide",K108)))</f>
        <v/>
      </c>
      <c r="M108" s="20">
        <f>IF(OR(I108="",J108=""),"",IF(I108=J108,1,0))</f>
        <v/>
      </c>
    </row>
    <row r="109">
      <c r="A109" s="15" t="n">
        <v>104</v>
      </c>
      <c r="B109" s="15" t="inlineStr">
        <is>
          <t>Tricky</t>
        </is>
      </c>
      <c r="C109" s="16" t="n"/>
      <c r="D109" s="16" t="n"/>
      <c r="E109" s="16" t="n"/>
      <c r="F109" s="16" t="n"/>
      <c r="G109" s="16" t="n"/>
      <c r="H109" s="16" t="n"/>
      <c r="I109" s="16" t="n"/>
      <c r="J109" s="16" t="n"/>
      <c r="K109" s="19" t="n"/>
      <c r="L109" s="20">
        <f>IF(OR(I109="",J109=""),"",IF(I109=J109,I109,IF(K109="","Supervisor to decide",K109)))</f>
        <v/>
      </c>
      <c r="M109" s="20">
        <f>IF(OR(I109="",J109=""),"",IF(I109=J109,1,0))</f>
        <v/>
      </c>
    </row>
    <row r="110">
      <c r="A110" s="15" t="n">
        <v>105</v>
      </c>
      <c r="B110" s="15" t="inlineStr">
        <is>
          <t>Tricky</t>
        </is>
      </c>
      <c r="C110" s="16" t="n"/>
      <c r="D110" s="16" t="n"/>
      <c r="E110" s="16" t="n"/>
      <c r="F110" s="16" t="n"/>
      <c r="G110" s="16" t="n"/>
      <c r="H110" s="16" t="n"/>
      <c r="I110" s="16" t="n"/>
      <c r="J110" s="16" t="n"/>
      <c r="K110" s="19" t="n"/>
      <c r="L110" s="20">
        <f>IF(OR(I110="",J110=""),"",IF(I110=J110,I110,IF(K110="","Supervisor to decide",K110)))</f>
        <v/>
      </c>
      <c r="M110" s="20">
        <f>IF(OR(I110="",J110=""),"",IF(I110=J110,1,0))</f>
        <v/>
      </c>
    </row>
    <row r="111">
      <c r="A111" s="15" t="n">
        <v>106</v>
      </c>
      <c r="B111" s="15" t="inlineStr">
        <is>
          <t>Tricky</t>
        </is>
      </c>
      <c r="C111" s="16" t="n"/>
      <c r="D111" s="16" t="n"/>
      <c r="E111" s="16" t="n"/>
      <c r="F111" s="16" t="n"/>
      <c r="G111" s="16" t="n"/>
      <c r="H111" s="16" t="n"/>
      <c r="I111" s="16" t="n"/>
      <c r="J111" s="16" t="n"/>
      <c r="K111" s="19" t="n"/>
      <c r="L111" s="20">
        <f>IF(OR(I111="",J111=""),"",IF(I111=J111,I111,IF(K111="","Supervisor to decide",K111)))</f>
        <v/>
      </c>
      <c r="M111" s="20">
        <f>IF(OR(I111="",J111=""),"",IF(I111=J111,1,0))</f>
        <v/>
      </c>
    </row>
    <row r="112">
      <c r="A112" s="15" t="n">
        <v>107</v>
      </c>
      <c r="B112" s="15" t="inlineStr">
        <is>
          <t>Tricky</t>
        </is>
      </c>
      <c r="C112" s="16" t="n"/>
      <c r="D112" s="16" t="n"/>
      <c r="E112" s="16" t="n"/>
      <c r="F112" s="16" t="n"/>
      <c r="G112" s="16" t="n"/>
      <c r="H112" s="16" t="n"/>
      <c r="I112" s="16" t="n"/>
      <c r="J112" s="16" t="n"/>
      <c r="K112" s="19" t="n"/>
      <c r="L112" s="20">
        <f>IF(OR(I112="",J112=""),"",IF(I112=J112,I112,IF(K112="","Supervisor to decide",K112)))</f>
        <v/>
      </c>
      <c r="M112" s="20">
        <f>IF(OR(I112="",J112=""),"",IF(I112=J112,1,0))</f>
        <v/>
      </c>
    </row>
    <row r="113">
      <c r="A113" s="15" t="n">
        <v>108</v>
      </c>
      <c r="B113" s="15" t="inlineStr">
        <is>
          <t>Tricky</t>
        </is>
      </c>
      <c r="C113" s="16" t="n"/>
      <c r="D113" s="16" t="n"/>
      <c r="E113" s="16" t="n"/>
      <c r="F113" s="16" t="n"/>
      <c r="G113" s="16" t="n"/>
      <c r="H113" s="16" t="n"/>
      <c r="I113" s="16" t="n"/>
      <c r="J113" s="16" t="n"/>
      <c r="K113" s="19" t="n"/>
      <c r="L113" s="20">
        <f>IF(OR(I113="",J113=""),"",IF(I113=J113,I113,IF(K113="","Supervisor to decide",K113)))</f>
        <v/>
      </c>
      <c r="M113" s="20">
        <f>IF(OR(I113="",J113=""),"",IF(I113=J113,1,0))</f>
        <v/>
      </c>
    </row>
    <row r="114">
      <c r="A114" s="15" t="n">
        <v>109</v>
      </c>
      <c r="B114" s="15" t="inlineStr">
        <is>
          <t>Tricky</t>
        </is>
      </c>
      <c r="C114" s="16" t="n"/>
      <c r="D114" s="16" t="n"/>
      <c r="E114" s="16" t="n"/>
      <c r="F114" s="16" t="n"/>
      <c r="G114" s="16" t="n"/>
      <c r="H114" s="16" t="n"/>
      <c r="I114" s="16" t="n"/>
      <c r="J114" s="16" t="n"/>
      <c r="K114" s="19" t="n"/>
      <c r="L114" s="20">
        <f>IF(OR(I114="",J114=""),"",IF(I114=J114,I114,IF(K114="","Supervisor to decide",K114)))</f>
        <v/>
      </c>
      <c r="M114" s="20">
        <f>IF(OR(I114="",J114=""),"",IF(I114=J114,1,0))</f>
        <v/>
      </c>
    </row>
    <row r="115">
      <c r="A115" s="15" t="n">
        <v>110</v>
      </c>
      <c r="B115" s="15" t="inlineStr">
        <is>
          <t>Tricky</t>
        </is>
      </c>
      <c r="C115" s="16" t="n"/>
      <c r="D115" s="16" t="n"/>
      <c r="E115" s="16" t="n"/>
      <c r="F115" s="16" t="n"/>
      <c r="G115" s="16" t="n"/>
      <c r="H115" s="16" t="n"/>
      <c r="I115" s="16" t="n"/>
      <c r="J115" s="16" t="n"/>
      <c r="K115" s="19" t="n"/>
      <c r="L115" s="20">
        <f>IF(OR(I115="",J115=""),"",IF(I115=J115,I115,IF(K115="","Supervisor to decide",K115)))</f>
        <v/>
      </c>
      <c r="M115" s="20">
        <f>IF(OR(I115="",J115=""),"",IF(I115=J115,1,0))</f>
        <v/>
      </c>
    </row>
    <row r="116">
      <c r="A116" s="15" t="n">
        <v>111</v>
      </c>
      <c r="B116" s="15" t="inlineStr">
        <is>
          <t>Tricky</t>
        </is>
      </c>
      <c r="C116" s="16" t="n"/>
      <c r="D116" s="16" t="n"/>
      <c r="E116" s="16" t="n"/>
      <c r="F116" s="16" t="n"/>
      <c r="G116" s="16" t="n"/>
      <c r="H116" s="16" t="n"/>
      <c r="I116" s="16" t="n"/>
      <c r="J116" s="16" t="n"/>
      <c r="K116" s="19" t="n"/>
      <c r="L116" s="20">
        <f>IF(OR(I116="",J116=""),"",IF(I116=J116,I116,IF(K116="","Supervisor to decide",K116)))</f>
        <v/>
      </c>
      <c r="M116" s="20">
        <f>IF(OR(I116="",J116=""),"",IF(I116=J116,1,0))</f>
        <v/>
      </c>
    </row>
    <row r="117">
      <c r="A117" s="15" t="n">
        <v>112</v>
      </c>
      <c r="B117" s="15" t="inlineStr">
        <is>
          <t>Tricky</t>
        </is>
      </c>
      <c r="C117" s="16" t="n"/>
      <c r="D117" s="16" t="n"/>
      <c r="E117" s="16" t="n"/>
      <c r="F117" s="16" t="n"/>
      <c r="G117" s="16" t="n"/>
      <c r="H117" s="16" t="n"/>
      <c r="I117" s="16" t="n"/>
      <c r="J117" s="16" t="n"/>
      <c r="K117" s="19" t="n"/>
      <c r="L117" s="20">
        <f>IF(OR(I117="",J117=""),"",IF(I117=J117,I117,IF(K117="","Supervisor to decide",K117)))</f>
        <v/>
      </c>
      <c r="M117" s="20">
        <f>IF(OR(I117="",J117=""),"",IF(I117=J117,1,0))</f>
        <v/>
      </c>
    </row>
    <row r="118">
      <c r="A118" s="15" t="n">
        <v>113</v>
      </c>
      <c r="B118" s="15" t="inlineStr">
        <is>
          <t>Tricky</t>
        </is>
      </c>
      <c r="C118" s="16" t="n"/>
      <c r="D118" s="16" t="n"/>
      <c r="E118" s="16" t="n"/>
      <c r="F118" s="16" t="n"/>
      <c r="G118" s="16" t="n"/>
      <c r="H118" s="16" t="n"/>
      <c r="I118" s="16" t="n"/>
      <c r="J118" s="16" t="n"/>
      <c r="K118" s="19" t="n"/>
      <c r="L118" s="20">
        <f>IF(OR(I118="",J118=""),"",IF(I118=J118,I118,IF(K118="","Supervisor to decide",K118)))</f>
        <v/>
      </c>
      <c r="M118" s="20">
        <f>IF(OR(I118="",J118=""),"",IF(I118=J118,1,0))</f>
        <v/>
      </c>
    </row>
    <row r="119">
      <c r="A119" s="15" t="n">
        <v>114</v>
      </c>
      <c r="B119" s="15" t="inlineStr">
        <is>
          <t>Tricky</t>
        </is>
      </c>
      <c r="C119" s="16" t="n"/>
      <c r="D119" s="16" t="n"/>
      <c r="E119" s="16" t="n"/>
      <c r="F119" s="16" t="n"/>
      <c r="G119" s="16" t="n"/>
      <c r="H119" s="16" t="n"/>
      <c r="I119" s="16" t="n"/>
      <c r="J119" s="16" t="n"/>
      <c r="K119" s="19" t="n"/>
      <c r="L119" s="20">
        <f>IF(OR(I119="",J119=""),"",IF(I119=J119,I119,IF(K119="","Supervisor to decide",K119)))</f>
        <v/>
      </c>
      <c r="M119" s="20">
        <f>IF(OR(I119="",J119=""),"",IF(I119=J119,1,0))</f>
        <v/>
      </c>
    </row>
    <row r="120">
      <c r="A120" s="15" t="n">
        <v>115</v>
      </c>
      <c r="B120" s="15" t="inlineStr">
        <is>
          <t>Tricky</t>
        </is>
      </c>
      <c r="C120" s="16" t="n"/>
      <c r="D120" s="16" t="n"/>
      <c r="E120" s="16" t="n"/>
      <c r="F120" s="16" t="n"/>
      <c r="G120" s="16" t="n"/>
      <c r="H120" s="16" t="n"/>
      <c r="I120" s="16" t="n"/>
      <c r="J120" s="16" t="n"/>
      <c r="K120" s="19" t="n"/>
      <c r="L120" s="20">
        <f>IF(OR(I120="",J120=""),"",IF(I120=J120,I120,IF(K120="","Supervisor to decide",K120)))</f>
        <v/>
      </c>
      <c r="M120" s="20">
        <f>IF(OR(I120="",J120=""),"",IF(I120=J120,1,0))</f>
        <v/>
      </c>
    </row>
    <row r="121">
      <c r="A121" s="15" t="n">
        <v>116</v>
      </c>
      <c r="B121" s="15" t="inlineStr">
        <is>
          <t>Tricky</t>
        </is>
      </c>
      <c r="C121" s="16" t="n"/>
      <c r="D121" s="16" t="n"/>
      <c r="E121" s="16" t="n"/>
      <c r="F121" s="16" t="n"/>
      <c r="G121" s="16" t="n"/>
      <c r="H121" s="16" t="n"/>
      <c r="I121" s="16" t="n"/>
      <c r="J121" s="16" t="n"/>
      <c r="K121" s="19" t="n"/>
      <c r="L121" s="20">
        <f>IF(OR(I121="",J121=""),"",IF(I121=J121,I121,IF(K121="","Supervisor to decide",K121)))</f>
        <v/>
      </c>
      <c r="M121" s="20">
        <f>IF(OR(I121="",J121=""),"",IF(I121=J121,1,0))</f>
        <v/>
      </c>
    </row>
    <row r="122">
      <c r="A122" s="15" t="n">
        <v>117</v>
      </c>
      <c r="B122" s="15" t="inlineStr">
        <is>
          <t>Tricky</t>
        </is>
      </c>
      <c r="C122" s="16" t="n"/>
      <c r="D122" s="16" t="n"/>
      <c r="E122" s="16" t="n"/>
      <c r="F122" s="16" t="n"/>
      <c r="G122" s="16" t="n"/>
      <c r="H122" s="16" t="n"/>
      <c r="I122" s="16" t="n"/>
      <c r="J122" s="16" t="n"/>
      <c r="K122" s="19" t="n"/>
      <c r="L122" s="20">
        <f>IF(OR(I122="",J122=""),"",IF(I122=J122,I122,IF(K122="","Supervisor to decide",K122)))</f>
        <v/>
      </c>
      <c r="M122" s="20">
        <f>IF(OR(I122="",J122=""),"",IF(I122=J122,1,0))</f>
        <v/>
      </c>
    </row>
    <row r="123">
      <c r="A123" s="15" t="n">
        <v>118</v>
      </c>
      <c r="B123" s="15" t="inlineStr">
        <is>
          <t>Tricky</t>
        </is>
      </c>
      <c r="C123" s="16" t="n"/>
      <c r="D123" s="16" t="n"/>
      <c r="E123" s="16" t="n"/>
      <c r="F123" s="16" t="n"/>
      <c r="G123" s="16" t="n"/>
      <c r="H123" s="16" t="n"/>
      <c r="I123" s="16" t="n"/>
      <c r="J123" s="16" t="n"/>
      <c r="K123" s="19" t="n"/>
      <c r="L123" s="20">
        <f>IF(OR(I123="",J123=""),"",IF(I123=J123,I123,IF(K123="","Supervisor to decide",K123)))</f>
        <v/>
      </c>
      <c r="M123" s="20">
        <f>IF(OR(I123="",J123=""),"",IF(I123=J123,1,0))</f>
        <v/>
      </c>
    </row>
    <row r="124">
      <c r="A124" s="15" t="n">
        <v>119</v>
      </c>
      <c r="B124" s="15" t="inlineStr">
        <is>
          <t>Tricky</t>
        </is>
      </c>
      <c r="C124" s="16" t="n"/>
      <c r="D124" s="16" t="n"/>
      <c r="E124" s="16" t="n"/>
      <c r="F124" s="16" t="n"/>
      <c r="G124" s="16" t="n"/>
      <c r="H124" s="16" t="n"/>
      <c r="I124" s="16" t="n"/>
      <c r="J124" s="16" t="n"/>
      <c r="K124" s="19" t="n"/>
      <c r="L124" s="20">
        <f>IF(OR(I124="",J124=""),"",IF(I124=J124,I124,IF(K124="","Supervisor to decide",K124)))</f>
        <v/>
      </c>
      <c r="M124" s="20">
        <f>IF(OR(I124="",J124=""),"",IF(I124=J124,1,0))</f>
        <v/>
      </c>
    </row>
    <row r="125">
      <c r="A125" s="15" t="n">
        <v>120</v>
      </c>
      <c r="B125" s="15" t="inlineStr">
        <is>
          <t>Tricky</t>
        </is>
      </c>
      <c r="C125" s="16" t="n"/>
      <c r="D125" s="16" t="n"/>
      <c r="E125" s="16" t="n"/>
      <c r="F125" s="16" t="n"/>
      <c r="G125" s="16" t="n"/>
      <c r="H125" s="16" t="n"/>
      <c r="I125" s="16" t="n"/>
      <c r="J125" s="16" t="n"/>
      <c r="K125" s="19" t="n"/>
      <c r="L125" s="20">
        <f>IF(OR(I125="",J125=""),"",IF(I125=J125,I125,IF(K125="","Supervisor to decide",K125)))</f>
        <v/>
      </c>
      <c r="M125" s="20">
        <f>IF(OR(I125="",J125=""),"",IF(I125=J125,1,0))</f>
        <v/>
      </c>
    </row>
    <row r="126">
      <c r="A126" s="15" t="n">
        <v>121</v>
      </c>
      <c r="B126" s="15" t="inlineStr">
        <is>
          <t>Tricky</t>
        </is>
      </c>
      <c r="C126" s="16" t="n"/>
      <c r="D126" s="16" t="n"/>
      <c r="E126" s="16" t="n"/>
      <c r="F126" s="16" t="n"/>
      <c r="G126" s="16" t="n"/>
      <c r="H126" s="16" t="n"/>
      <c r="I126" s="16" t="n"/>
      <c r="J126" s="16" t="n"/>
      <c r="K126" s="19" t="n"/>
      <c r="L126" s="20">
        <f>IF(OR(I126="",J126=""),"",IF(I126=J126,I126,IF(K126="","Supervisor to decide",K126)))</f>
        <v/>
      </c>
      <c r="M126" s="20">
        <f>IF(OR(I126="",J126=""),"",IF(I126=J126,1,0))</f>
        <v/>
      </c>
    </row>
    <row r="127">
      <c r="A127" s="15" t="n">
        <v>122</v>
      </c>
      <c r="B127" s="15" t="inlineStr">
        <is>
          <t>Tricky</t>
        </is>
      </c>
      <c r="C127" s="16" t="n"/>
      <c r="D127" s="16" t="n"/>
      <c r="E127" s="16" t="n"/>
      <c r="F127" s="16" t="n"/>
      <c r="G127" s="16" t="n"/>
      <c r="H127" s="16" t="n"/>
      <c r="I127" s="16" t="n"/>
      <c r="J127" s="16" t="n"/>
      <c r="K127" s="19" t="n"/>
      <c r="L127" s="20">
        <f>IF(OR(I127="",J127=""),"",IF(I127=J127,I127,IF(K127="","Supervisor to decide",K127)))</f>
        <v/>
      </c>
      <c r="M127" s="20">
        <f>IF(OR(I127="",J127=""),"",IF(I127=J127,1,0))</f>
        <v/>
      </c>
    </row>
    <row r="128">
      <c r="A128" s="15" t="n">
        <v>123</v>
      </c>
      <c r="B128" s="15" t="inlineStr">
        <is>
          <t>Tricky</t>
        </is>
      </c>
      <c r="C128" s="16" t="n"/>
      <c r="D128" s="16" t="n"/>
      <c r="E128" s="16" t="n"/>
      <c r="F128" s="16" t="n"/>
      <c r="G128" s="16" t="n"/>
      <c r="H128" s="16" t="n"/>
      <c r="I128" s="16" t="n"/>
      <c r="J128" s="16" t="n"/>
      <c r="K128" s="19" t="n"/>
      <c r="L128" s="20">
        <f>IF(OR(I128="",J128=""),"",IF(I128=J128,I128,IF(K128="","Supervisor to decide",K128)))</f>
        <v/>
      </c>
      <c r="M128" s="20">
        <f>IF(OR(I128="",J128=""),"",IF(I128=J128,1,0))</f>
        <v/>
      </c>
    </row>
    <row r="129">
      <c r="A129" s="15" t="n">
        <v>124</v>
      </c>
      <c r="B129" s="15" t="inlineStr">
        <is>
          <t>Tricky</t>
        </is>
      </c>
      <c r="C129" s="16" t="n"/>
      <c r="D129" s="16" t="n"/>
      <c r="E129" s="16" t="n"/>
      <c r="F129" s="16" t="n"/>
      <c r="G129" s="16" t="n"/>
      <c r="H129" s="16" t="n"/>
      <c r="I129" s="16" t="n"/>
      <c r="J129" s="16" t="n"/>
      <c r="K129" s="19" t="n"/>
      <c r="L129" s="20">
        <f>IF(OR(I129="",J129=""),"",IF(I129=J129,I129,IF(K129="","Supervisor to decide",K129)))</f>
        <v/>
      </c>
      <c r="M129" s="20">
        <f>IF(OR(I129="",J129=""),"",IF(I129=J129,1,0))</f>
        <v/>
      </c>
    </row>
    <row r="130">
      <c r="A130" s="15" t="n">
        <v>125</v>
      </c>
      <c r="B130" s="15" t="inlineStr">
        <is>
          <t>Tricky</t>
        </is>
      </c>
      <c r="C130" s="16" t="n"/>
      <c r="D130" s="16" t="n"/>
      <c r="E130" s="16" t="n"/>
      <c r="F130" s="16" t="n"/>
      <c r="G130" s="16" t="n"/>
      <c r="H130" s="16" t="n"/>
      <c r="I130" s="16" t="n"/>
      <c r="J130" s="16" t="n"/>
      <c r="K130" s="19" t="n"/>
      <c r="L130" s="20">
        <f>IF(OR(I130="",J130=""),"",IF(I130=J130,I130,IF(K130="","Supervisor to decide",K130)))</f>
        <v/>
      </c>
      <c r="M130" s="20">
        <f>IF(OR(I130="",J130=""),"",IF(I130=J130,1,0))</f>
        <v/>
      </c>
    </row>
    <row r="131">
      <c r="A131" s="15" t="n">
        <v>126</v>
      </c>
      <c r="B131" s="15" t="inlineStr">
        <is>
          <t>Tricky</t>
        </is>
      </c>
      <c r="C131" s="16" t="n"/>
      <c r="D131" s="16" t="n"/>
      <c r="E131" s="16" t="n"/>
      <c r="F131" s="16" t="n"/>
      <c r="G131" s="16" t="n"/>
      <c r="H131" s="16" t="n"/>
      <c r="I131" s="16" t="n"/>
      <c r="J131" s="16" t="n"/>
      <c r="K131" s="19" t="n"/>
      <c r="L131" s="20">
        <f>IF(OR(I131="",J131=""),"",IF(I131=J131,I131,IF(K131="","Supervisor to decide",K131)))</f>
        <v/>
      </c>
      <c r="M131" s="20">
        <f>IF(OR(I131="",J131=""),"",IF(I131=J131,1,0))</f>
        <v/>
      </c>
    </row>
    <row r="132">
      <c r="A132" s="15" t="n">
        <v>127</v>
      </c>
      <c r="B132" s="15" t="inlineStr">
        <is>
          <t>Tricky</t>
        </is>
      </c>
      <c r="C132" s="16" t="n"/>
      <c r="D132" s="16" t="n"/>
      <c r="E132" s="16" t="n"/>
      <c r="F132" s="16" t="n"/>
      <c r="G132" s="16" t="n"/>
      <c r="H132" s="16" t="n"/>
      <c r="I132" s="16" t="n"/>
      <c r="J132" s="16" t="n"/>
      <c r="K132" s="19" t="n"/>
      <c r="L132" s="20">
        <f>IF(OR(I132="",J132=""),"",IF(I132=J132,I132,IF(K132="","Supervisor to decide",K132)))</f>
        <v/>
      </c>
      <c r="M132" s="20">
        <f>IF(OR(I132="",J132=""),"",IF(I132=J132,1,0))</f>
        <v/>
      </c>
    </row>
    <row r="133">
      <c r="A133" s="15" t="n">
        <v>128</v>
      </c>
      <c r="B133" s="15" t="inlineStr">
        <is>
          <t>Tricky</t>
        </is>
      </c>
      <c r="C133" s="16" t="n"/>
      <c r="D133" s="16" t="n"/>
      <c r="E133" s="16" t="n"/>
      <c r="F133" s="16" t="n"/>
      <c r="G133" s="16" t="n"/>
      <c r="H133" s="16" t="n"/>
      <c r="I133" s="16" t="n"/>
      <c r="J133" s="16" t="n"/>
      <c r="K133" s="19" t="n"/>
      <c r="L133" s="20">
        <f>IF(OR(I133="",J133=""),"",IF(I133=J133,I133,IF(K133="","Supervisor to decide",K133)))</f>
        <v/>
      </c>
      <c r="M133" s="20">
        <f>IF(OR(I133="",J133=""),"",IF(I133=J133,1,0))</f>
        <v/>
      </c>
    </row>
    <row r="134">
      <c r="A134" s="15" t="n">
        <v>129</v>
      </c>
      <c r="B134" s="15" t="inlineStr">
        <is>
          <t>Tricky</t>
        </is>
      </c>
      <c r="C134" s="16" t="n"/>
      <c r="D134" s="16" t="n"/>
      <c r="E134" s="16" t="n"/>
      <c r="F134" s="16" t="n"/>
      <c r="G134" s="16" t="n"/>
      <c r="H134" s="16" t="n"/>
      <c r="I134" s="16" t="n"/>
      <c r="J134" s="16" t="n"/>
      <c r="K134" s="19" t="n"/>
      <c r="L134" s="20">
        <f>IF(OR(I134="",J134=""),"",IF(I134=J134,I134,IF(K134="","Supervisor to decide",K134)))</f>
        <v/>
      </c>
      <c r="M134" s="20">
        <f>IF(OR(I134="",J134=""),"",IF(I134=J134,1,0))</f>
        <v/>
      </c>
    </row>
    <row r="135">
      <c r="A135" s="15" t="n">
        <v>130</v>
      </c>
      <c r="B135" s="15" t="inlineStr">
        <is>
          <t>Tricky</t>
        </is>
      </c>
      <c r="C135" s="16" t="n"/>
      <c r="D135" s="16" t="n"/>
      <c r="E135" s="16" t="n"/>
      <c r="F135" s="16" t="n"/>
      <c r="G135" s="16" t="n"/>
      <c r="H135" s="16" t="n"/>
      <c r="I135" s="16" t="n"/>
      <c r="J135" s="16" t="n"/>
      <c r="K135" s="19" t="n"/>
      <c r="L135" s="20">
        <f>IF(OR(I135="",J135=""),"",IF(I135=J135,I135,IF(K135="","Supervisor to decide",K135)))</f>
        <v/>
      </c>
      <c r="M135" s="20">
        <f>IF(OR(I135="",J135=""),"",IF(I135=J135,1,0))</f>
        <v/>
      </c>
    </row>
    <row r="136">
      <c r="A136" s="15" t="n">
        <v>131</v>
      </c>
      <c r="B136" s="15" t="inlineStr">
        <is>
          <t>Must refuse</t>
        </is>
      </c>
      <c r="C136" s="16" t="n"/>
      <c r="D136" s="16" t="n"/>
      <c r="E136" s="16" t="n"/>
      <c r="F136" s="16" t="n"/>
      <c r="G136" s="16" t="n"/>
      <c r="H136" s="16" t="n"/>
      <c r="I136" s="16" t="n"/>
      <c r="J136" s="16" t="n"/>
      <c r="K136" s="19" t="n"/>
      <c r="L136" s="20">
        <f>IF(OR(I136="",J136=""),"",IF(I136=J136,I136,IF(K136="","Supervisor to decide",K136)))</f>
        <v/>
      </c>
      <c r="M136" s="20">
        <f>IF(OR(I136="",J136=""),"",IF(I136=J136,1,0))</f>
        <v/>
      </c>
    </row>
    <row r="137">
      <c r="A137" s="15" t="n">
        <v>132</v>
      </c>
      <c r="B137" s="15" t="inlineStr">
        <is>
          <t>Must refuse</t>
        </is>
      </c>
      <c r="C137" s="16" t="n"/>
      <c r="D137" s="16" t="n"/>
      <c r="E137" s="16" t="n"/>
      <c r="F137" s="16" t="n"/>
      <c r="G137" s="16" t="n"/>
      <c r="H137" s="16" t="n"/>
      <c r="I137" s="16" t="n"/>
      <c r="J137" s="16" t="n"/>
      <c r="K137" s="19" t="n"/>
      <c r="L137" s="20">
        <f>IF(OR(I137="",J137=""),"",IF(I137=J137,I137,IF(K137="","Supervisor to decide",K137)))</f>
        <v/>
      </c>
      <c r="M137" s="20">
        <f>IF(OR(I137="",J137=""),"",IF(I137=J137,1,0))</f>
        <v/>
      </c>
    </row>
    <row r="138">
      <c r="A138" s="15" t="n">
        <v>133</v>
      </c>
      <c r="B138" s="15" t="inlineStr">
        <is>
          <t>Must refuse</t>
        </is>
      </c>
      <c r="C138" s="16" t="n"/>
      <c r="D138" s="16" t="n"/>
      <c r="E138" s="16" t="n"/>
      <c r="F138" s="16" t="n"/>
      <c r="G138" s="16" t="n"/>
      <c r="H138" s="16" t="n"/>
      <c r="I138" s="16" t="n"/>
      <c r="J138" s="16" t="n"/>
      <c r="K138" s="19" t="n"/>
      <c r="L138" s="20">
        <f>IF(OR(I138="",J138=""),"",IF(I138=J138,I138,IF(K138="","Supervisor to decide",K138)))</f>
        <v/>
      </c>
      <c r="M138" s="20">
        <f>IF(OR(I138="",J138=""),"",IF(I138=J138,1,0))</f>
        <v/>
      </c>
    </row>
    <row r="139">
      <c r="A139" s="15" t="n">
        <v>134</v>
      </c>
      <c r="B139" s="15" t="inlineStr">
        <is>
          <t>Must refuse</t>
        </is>
      </c>
      <c r="C139" s="16" t="n"/>
      <c r="D139" s="16" t="n"/>
      <c r="E139" s="16" t="n"/>
      <c r="F139" s="16" t="n"/>
      <c r="G139" s="16" t="n"/>
      <c r="H139" s="16" t="n"/>
      <c r="I139" s="16" t="n"/>
      <c r="J139" s="16" t="n"/>
      <c r="K139" s="19" t="n"/>
      <c r="L139" s="20">
        <f>IF(OR(I139="",J139=""),"",IF(I139=J139,I139,IF(K139="","Supervisor to decide",K139)))</f>
        <v/>
      </c>
      <c r="M139" s="20">
        <f>IF(OR(I139="",J139=""),"",IF(I139=J139,1,0))</f>
        <v/>
      </c>
    </row>
    <row r="140">
      <c r="A140" s="15" t="n">
        <v>135</v>
      </c>
      <c r="B140" s="15" t="inlineStr">
        <is>
          <t>Must refuse</t>
        </is>
      </c>
      <c r="C140" s="16" t="n"/>
      <c r="D140" s="16" t="n"/>
      <c r="E140" s="16" t="n"/>
      <c r="F140" s="16" t="n"/>
      <c r="G140" s="16" t="n"/>
      <c r="H140" s="16" t="n"/>
      <c r="I140" s="16" t="n"/>
      <c r="J140" s="16" t="n"/>
      <c r="K140" s="19" t="n"/>
      <c r="L140" s="20">
        <f>IF(OR(I140="",J140=""),"",IF(I140=J140,I140,IF(K140="","Supervisor to decide",K140)))</f>
        <v/>
      </c>
      <c r="M140" s="20">
        <f>IF(OR(I140="",J140=""),"",IF(I140=J140,1,0))</f>
        <v/>
      </c>
    </row>
    <row r="141">
      <c r="A141" s="15" t="n">
        <v>136</v>
      </c>
      <c r="B141" s="15" t="inlineStr">
        <is>
          <t>Must refuse</t>
        </is>
      </c>
      <c r="C141" s="16" t="n"/>
      <c r="D141" s="16" t="n"/>
      <c r="E141" s="16" t="n"/>
      <c r="F141" s="16" t="n"/>
      <c r="G141" s="16" t="n"/>
      <c r="H141" s="16" t="n"/>
      <c r="I141" s="16" t="n"/>
      <c r="J141" s="16" t="n"/>
      <c r="K141" s="19" t="n"/>
      <c r="L141" s="20">
        <f>IF(OR(I141="",J141=""),"",IF(I141=J141,I141,IF(K141="","Supervisor to decide",K141)))</f>
        <v/>
      </c>
      <c r="M141" s="20">
        <f>IF(OR(I141="",J141=""),"",IF(I141=J141,1,0))</f>
        <v/>
      </c>
    </row>
    <row r="142">
      <c r="A142" s="15" t="n">
        <v>137</v>
      </c>
      <c r="B142" s="15" t="inlineStr">
        <is>
          <t>Must refuse</t>
        </is>
      </c>
      <c r="C142" s="16" t="n"/>
      <c r="D142" s="16" t="n"/>
      <c r="E142" s="16" t="n"/>
      <c r="F142" s="16" t="n"/>
      <c r="G142" s="16" t="n"/>
      <c r="H142" s="16" t="n"/>
      <c r="I142" s="16" t="n"/>
      <c r="J142" s="16" t="n"/>
      <c r="K142" s="19" t="n"/>
      <c r="L142" s="20">
        <f>IF(OR(I142="",J142=""),"",IF(I142=J142,I142,IF(K142="","Supervisor to decide",K142)))</f>
        <v/>
      </c>
      <c r="M142" s="20">
        <f>IF(OR(I142="",J142=""),"",IF(I142=J142,1,0))</f>
        <v/>
      </c>
    </row>
    <row r="143">
      <c r="A143" s="15" t="n">
        <v>138</v>
      </c>
      <c r="B143" s="15" t="inlineStr">
        <is>
          <t>Must refuse</t>
        </is>
      </c>
      <c r="C143" s="16" t="n"/>
      <c r="D143" s="16" t="n"/>
      <c r="E143" s="16" t="n"/>
      <c r="F143" s="16" t="n"/>
      <c r="G143" s="16" t="n"/>
      <c r="H143" s="16" t="n"/>
      <c r="I143" s="16" t="n"/>
      <c r="J143" s="16" t="n"/>
      <c r="K143" s="19" t="n"/>
      <c r="L143" s="20">
        <f>IF(OR(I143="",J143=""),"",IF(I143=J143,I143,IF(K143="","Supervisor to decide",K143)))</f>
        <v/>
      </c>
      <c r="M143" s="20">
        <f>IF(OR(I143="",J143=""),"",IF(I143=J143,1,0))</f>
        <v/>
      </c>
    </row>
    <row r="144">
      <c r="A144" s="15" t="n">
        <v>139</v>
      </c>
      <c r="B144" s="15" t="inlineStr">
        <is>
          <t>Must refuse</t>
        </is>
      </c>
      <c r="C144" s="16" t="n"/>
      <c r="D144" s="16" t="n"/>
      <c r="E144" s="16" t="n"/>
      <c r="F144" s="16" t="n"/>
      <c r="G144" s="16" t="n"/>
      <c r="H144" s="16" t="n"/>
      <c r="I144" s="16" t="n"/>
      <c r="J144" s="16" t="n"/>
      <c r="K144" s="19" t="n"/>
      <c r="L144" s="20">
        <f>IF(OR(I144="",J144=""),"",IF(I144=J144,I144,IF(K144="","Supervisor to decide",K144)))</f>
        <v/>
      </c>
      <c r="M144" s="20">
        <f>IF(OR(I144="",J144=""),"",IF(I144=J144,1,0))</f>
        <v/>
      </c>
    </row>
    <row r="145">
      <c r="A145" s="15" t="n">
        <v>140</v>
      </c>
      <c r="B145" s="15" t="inlineStr">
        <is>
          <t>Must refuse</t>
        </is>
      </c>
      <c r="C145" s="16" t="n"/>
      <c r="D145" s="16" t="n"/>
      <c r="E145" s="16" t="n"/>
      <c r="F145" s="16" t="n"/>
      <c r="G145" s="16" t="n"/>
      <c r="H145" s="16" t="n"/>
      <c r="I145" s="16" t="n"/>
      <c r="J145" s="16" t="n"/>
      <c r="K145" s="19" t="n"/>
      <c r="L145" s="20">
        <f>IF(OR(I145="",J145=""),"",IF(I145=J145,I145,IF(K145="","Supervisor to decide",K145)))</f>
        <v/>
      </c>
      <c r="M145" s="20">
        <f>IF(OR(I145="",J145=""),"",IF(I145=J145,1,0))</f>
        <v/>
      </c>
    </row>
    <row r="146">
      <c r="A146" s="15" t="n">
        <v>141</v>
      </c>
      <c r="B146" s="15" t="inlineStr">
        <is>
          <t>Must refuse</t>
        </is>
      </c>
      <c r="C146" s="16" t="n"/>
      <c r="D146" s="16" t="n"/>
      <c r="E146" s="16" t="n"/>
      <c r="F146" s="16" t="n"/>
      <c r="G146" s="16" t="n"/>
      <c r="H146" s="16" t="n"/>
      <c r="I146" s="16" t="n"/>
      <c r="J146" s="16" t="n"/>
      <c r="K146" s="19" t="n"/>
      <c r="L146" s="20">
        <f>IF(OR(I146="",J146=""),"",IF(I146=J146,I146,IF(K146="","Supervisor to decide",K146)))</f>
        <v/>
      </c>
      <c r="M146" s="20">
        <f>IF(OR(I146="",J146=""),"",IF(I146=J146,1,0))</f>
        <v/>
      </c>
    </row>
    <row r="147">
      <c r="A147" s="15" t="n">
        <v>142</v>
      </c>
      <c r="B147" s="15" t="inlineStr">
        <is>
          <t>Must refuse</t>
        </is>
      </c>
      <c r="C147" s="16" t="n"/>
      <c r="D147" s="16" t="n"/>
      <c r="E147" s="16" t="n"/>
      <c r="F147" s="16" t="n"/>
      <c r="G147" s="16" t="n"/>
      <c r="H147" s="16" t="n"/>
      <c r="I147" s="16" t="n"/>
      <c r="J147" s="16" t="n"/>
      <c r="K147" s="19" t="n"/>
      <c r="L147" s="20">
        <f>IF(OR(I147="",J147=""),"",IF(I147=J147,I147,IF(K147="","Supervisor to decide",K147)))</f>
        <v/>
      </c>
      <c r="M147" s="20">
        <f>IF(OR(I147="",J147=""),"",IF(I147=J147,1,0))</f>
        <v/>
      </c>
    </row>
    <row r="148">
      <c r="A148" s="15" t="n">
        <v>143</v>
      </c>
      <c r="B148" s="15" t="inlineStr">
        <is>
          <t>Must refuse</t>
        </is>
      </c>
      <c r="C148" s="16" t="n"/>
      <c r="D148" s="16" t="n"/>
      <c r="E148" s="16" t="n"/>
      <c r="F148" s="16" t="n"/>
      <c r="G148" s="16" t="n"/>
      <c r="H148" s="16" t="n"/>
      <c r="I148" s="16" t="n"/>
      <c r="J148" s="16" t="n"/>
      <c r="K148" s="19" t="n"/>
      <c r="L148" s="20">
        <f>IF(OR(I148="",J148=""),"",IF(I148=J148,I148,IF(K148="","Supervisor to decide",K148)))</f>
        <v/>
      </c>
      <c r="M148" s="20">
        <f>IF(OR(I148="",J148=""),"",IF(I148=J148,1,0))</f>
        <v/>
      </c>
    </row>
    <row r="149">
      <c r="A149" s="15" t="n">
        <v>144</v>
      </c>
      <c r="B149" s="15" t="inlineStr">
        <is>
          <t>Must refuse</t>
        </is>
      </c>
      <c r="C149" s="16" t="n"/>
      <c r="D149" s="16" t="n"/>
      <c r="E149" s="16" t="n"/>
      <c r="F149" s="16" t="n"/>
      <c r="G149" s="16" t="n"/>
      <c r="H149" s="16" t="n"/>
      <c r="I149" s="16" t="n"/>
      <c r="J149" s="16" t="n"/>
      <c r="K149" s="19" t="n"/>
      <c r="L149" s="20">
        <f>IF(OR(I149="",J149=""),"",IF(I149=J149,I149,IF(K149="","Supervisor to decide",K149)))</f>
        <v/>
      </c>
      <c r="M149" s="20">
        <f>IF(OR(I149="",J149=""),"",IF(I149=J149,1,0))</f>
        <v/>
      </c>
    </row>
    <row r="150">
      <c r="A150" s="15" t="n">
        <v>145</v>
      </c>
      <c r="B150" s="15" t="inlineStr">
        <is>
          <t>Must refuse</t>
        </is>
      </c>
      <c r="C150" s="16" t="n"/>
      <c r="D150" s="16" t="n"/>
      <c r="E150" s="16" t="n"/>
      <c r="F150" s="16" t="n"/>
      <c r="G150" s="16" t="n"/>
      <c r="H150" s="16" t="n"/>
      <c r="I150" s="16" t="n"/>
      <c r="J150" s="16" t="n"/>
      <c r="K150" s="19" t="n"/>
      <c r="L150" s="20">
        <f>IF(OR(I150="",J150=""),"",IF(I150=J150,I150,IF(K150="","Supervisor to decide",K150)))</f>
        <v/>
      </c>
      <c r="M150" s="20">
        <f>IF(OR(I150="",J150=""),"",IF(I150=J150,1,0))</f>
        <v/>
      </c>
    </row>
    <row r="151">
      <c r="A151" s="15" t="n">
        <v>146</v>
      </c>
      <c r="B151" s="15" t="inlineStr">
        <is>
          <t>Must refuse</t>
        </is>
      </c>
      <c r="C151" s="16" t="n"/>
      <c r="D151" s="16" t="n"/>
      <c r="E151" s="16" t="n"/>
      <c r="F151" s="16" t="n"/>
      <c r="G151" s="16" t="n"/>
      <c r="H151" s="16" t="n"/>
      <c r="I151" s="16" t="n"/>
      <c r="J151" s="16" t="n"/>
      <c r="K151" s="19" t="n"/>
      <c r="L151" s="20">
        <f>IF(OR(I151="",J151=""),"",IF(I151=J151,I151,IF(K151="","Supervisor to decide",K151)))</f>
        <v/>
      </c>
      <c r="M151" s="20">
        <f>IF(OR(I151="",J151=""),"",IF(I151=J151,1,0))</f>
        <v/>
      </c>
    </row>
    <row r="152">
      <c r="A152" s="15" t="n">
        <v>147</v>
      </c>
      <c r="B152" s="15" t="inlineStr">
        <is>
          <t>Must refuse</t>
        </is>
      </c>
      <c r="C152" s="16" t="n"/>
      <c r="D152" s="16" t="n"/>
      <c r="E152" s="16" t="n"/>
      <c r="F152" s="16" t="n"/>
      <c r="G152" s="16" t="n"/>
      <c r="H152" s="16" t="n"/>
      <c r="I152" s="16" t="n"/>
      <c r="J152" s="16" t="n"/>
      <c r="K152" s="19" t="n"/>
      <c r="L152" s="20">
        <f>IF(OR(I152="",J152=""),"",IF(I152=J152,I152,IF(K152="","Supervisor to decide",K152)))</f>
        <v/>
      </c>
      <c r="M152" s="20">
        <f>IF(OR(I152="",J152=""),"",IF(I152=J152,1,0))</f>
        <v/>
      </c>
    </row>
    <row r="153">
      <c r="A153" s="15" t="n">
        <v>148</v>
      </c>
      <c r="B153" s="15" t="inlineStr">
        <is>
          <t>Must refuse</t>
        </is>
      </c>
      <c r="C153" s="16" t="n"/>
      <c r="D153" s="16" t="n"/>
      <c r="E153" s="16" t="n"/>
      <c r="F153" s="16" t="n"/>
      <c r="G153" s="16" t="n"/>
      <c r="H153" s="16" t="n"/>
      <c r="I153" s="16" t="n"/>
      <c r="J153" s="16" t="n"/>
      <c r="K153" s="19" t="n"/>
      <c r="L153" s="20">
        <f>IF(OR(I153="",J153=""),"",IF(I153=J153,I153,IF(K153="","Supervisor to decide",K153)))</f>
        <v/>
      </c>
      <c r="M153" s="20">
        <f>IF(OR(I153="",J153=""),"",IF(I153=J153,1,0))</f>
        <v/>
      </c>
    </row>
    <row r="154">
      <c r="A154" s="15" t="n">
        <v>149</v>
      </c>
      <c r="B154" s="15" t="inlineStr">
        <is>
          <t>Must refuse</t>
        </is>
      </c>
      <c r="C154" s="16" t="n"/>
      <c r="D154" s="16" t="n"/>
      <c r="E154" s="16" t="n"/>
      <c r="F154" s="16" t="n"/>
      <c r="G154" s="16" t="n"/>
      <c r="H154" s="16" t="n"/>
      <c r="I154" s="16" t="n"/>
      <c r="J154" s="16" t="n"/>
      <c r="K154" s="19" t="n"/>
      <c r="L154" s="20">
        <f>IF(OR(I154="",J154=""),"",IF(I154=J154,I154,IF(K154="","Supervisor to decide",K154)))</f>
        <v/>
      </c>
      <c r="M154" s="20">
        <f>IF(OR(I154="",J154=""),"",IF(I154=J154,1,0))</f>
        <v/>
      </c>
    </row>
    <row r="155">
      <c r="A155" s="15" t="n">
        <v>150</v>
      </c>
      <c r="B155" s="15" t="inlineStr">
        <is>
          <t>Must refuse</t>
        </is>
      </c>
      <c r="C155" s="16" t="n"/>
      <c r="D155" s="16" t="n"/>
      <c r="E155" s="16" t="n"/>
      <c r="F155" s="16" t="n"/>
      <c r="G155" s="16" t="n"/>
      <c r="H155" s="16" t="n"/>
      <c r="I155" s="16" t="n"/>
      <c r="J155" s="16" t="n"/>
      <c r="K155" s="19" t="n"/>
      <c r="L155" s="20">
        <f>IF(OR(I155="",J155=""),"",IF(I155=J155,I155,IF(K155="","Supervisor to decide",K155)))</f>
        <v/>
      </c>
      <c r="M155" s="20">
        <f>IF(OR(I155="",J155=""),"",IF(I155=J155,1,0))</f>
        <v/>
      </c>
    </row>
  </sheetData>
  <mergeCells count="1">
    <mergeCell ref="A2:M3"/>
  </mergeCells>
  <dataValidations count="2">
    <dataValidation sqref="I6:K155" showDropDown="0" showInputMessage="0" showErrorMessage="0" allowBlank="1" type="list">
      <formula1>"Correct,Partly correct,Wrong"</formula1>
    </dataValidation>
    <dataValidation sqref="H6:H155"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2026-10-13T14:02:13Z</dcterms:created>
  <dcterms:modified xsi:type="dcterms:W3CDTF">2026-10-13T14:02:13Z</dcterms:modified>
</cp:coreProperties>
</file>